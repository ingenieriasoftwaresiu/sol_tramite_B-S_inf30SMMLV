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 r="A29" i="2" s="1"/>
</calcChain>
</file>

<file path=xl/sharedStrings.xml><?xml version="1.0" encoding="utf-8"?>
<sst xmlns="http://schemas.openxmlformats.org/spreadsheetml/2006/main" count="914" uniqueCount="714">
  <si>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</si>
  <si>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</si>
  <si>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</si>
  <si>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</si>
  <si>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</si>
  <si>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</si>
  <si>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</si>
  <si>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</si>
  <si>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</si>
  <si>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</si>
  <si>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</si>
  <si>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</si>
  <si>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</si>
  <si>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</si>
  <si>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</si>
  <si>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</si>
  <si>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</si>
  <si>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</si>
  <si>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</si>
  <si>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</si>
  <si>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</si>
  <si>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</si>
  <si>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</si>
  <si>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</si>
  <si>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</si>
  <si>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</si>
  <si>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</si>
  <si>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</si>
  <si>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</si>
  <si>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</si>
  <si>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</si>
  <si>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</si>
  <si>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</si>
  <si>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</si>
  <si>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</si>
  <si>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</si>
  <si>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</si>
  <si>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</si>
  <si>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</si>
  <si>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</si>
  <si>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</si>
  <si>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</si>
  <si>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</si>
  <si>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</si>
  <si>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</si>
  <si>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</si>
  <si>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</si>
  <si>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</si>
  <si>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</si>
  <si>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</si>
  <si>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</si>
  <si>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</si>
  <si>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</si>
  <si>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</si>
  <si>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</si>
  <si>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</si>
  <si>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</si>
  <si>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</si>
  <si>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</si>
  <si>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</si>
  <si>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</si>
  <si>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</si>
  <si>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</si>
  <si>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</si>
  <si>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</si>
  <si>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</si>
  <si>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</si>
  <si>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</si>
  <si>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</si>
  <si>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</si>
  <si>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</si>
  <si>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</si>
  <si>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</si>
  <si>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</si>
  <si>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</si>
  <si>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</si>
  <si>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</si>
  <si>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</si>
  <si>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</si>
  <si>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</si>
  <si>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</si>
  <si>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</si>
  <si>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</si>
  <si>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</si>
  <si>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</si>
  <si>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</si>
  <si>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</si>
  <si>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</si>
  <si>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</si>
  <si>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37-1-676</t>
  </si>
  <si>
    <t>15-1-843</t>
  </si>
  <si>
    <t>15-1-864</t>
  </si>
  <si>
    <t>15-1-866</t>
  </si>
  <si>
    <t>14-1-869</t>
  </si>
  <si>
    <t>11-1-874</t>
  </si>
  <si>
    <t>26-1-719</t>
  </si>
  <si>
    <t>13-1-880</t>
  </si>
  <si>
    <t>51-1-884</t>
  </si>
  <si>
    <t>07-1-834</t>
  </si>
  <si>
    <t>07-1-908</t>
  </si>
  <si>
    <t>08-1-855</t>
  </si>
  <si>
    <t>08-1-886</t>
  </si>
  <si>
    <t>08-1-901</t>
  </si>
  <si>
    <t>32-1-730</t>
  </si>
  <si>
    <t>52-1-701</t>
  </si>
  <si>
    <t>52-1-704</t>
  </si>
  <si>
    <t>52-1-705</t>
  </si>
  <si>
    <t>52-1-779</t>
  </si>
  <si>
    <t>52-1-909</t>
  </si>
  <si>
    <t>10-1-879</t>
  </si>
  <si>
    <t>10-1-882</t>
  </si>
  <si>
    <t>10-1-881</t>
  </si>
  <si>
    <t>40-1-779</t>
  </si>
  <si>
    <t>50-1-788</t>
  </si>
  <si>
    <t>50-1-789</t>
  </si>
  <si>
    <t>50-1-906</t>
  </si>
  <si>
    <t>22-1-878</t>
  </si>
  <si>
    <t>57-1-806</t>
  </si>
  <si>
    <t>57-1-807</t>
  </si>
  <si>
    <t>57-1-808</t>
  </si>
  <si>
    <t>57-1-809</t>
  </si>
  <si>
    <t>57-1-810</t>
  </si>
  <si>
    <t>57-1-811</t>
  </si>
  <si>
    <t>57-1-812</t>
  </si>
  <si>
    <t>57-1-813</t>
  </si>
  <si>
    <t>57-1-814</t>
  </si>
  <si>
    <t>57-1-815</t>
  </si>
  <si>
    <t>57-1-816</t>
  </si>
  <si>
    <t>57-1-817</t>
  </si>
  <si>
    <t>57-1-818</t>
  </si>
  <si>
    <t>57-1-819</t>
  </si>
  <si>
    <t>57-1-820</t>
  </si>
  <si>
    <t>57-1-845</t>
  </si>
  <si>
    <t>34-1-776</t>
  </si>
  <si>
    <t>62-1-896</t>
  </si>
  <si>
    <t>Desarrollo de catalizadores de FCC selectivos a coque que permitan disminuir las emisiones de CO2 en los regeneradores de estas unidades</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</si>
  <si>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</si>
  <si>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</si>
  <si>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</si>
  <si>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</si>
  <si>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</si>
  <si>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</si>
  <si>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</si>
  <si>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</si>
  <si>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</si>
  <si>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</si>
  <si>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</si>
  <si>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</si>
  <si>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</si>
  <si>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</si>
  <si>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Búsqueda y validación de nuevos inhibidores de los transportadores de membrana de la familia MMPL de Mycobacterium tuberculosis como nuevos agentes antimicrobianos con potencial terapéutico</t>
  </si>
  <si>
    <t>Agentes causantes del crecimiento de cianobacterias productoras de toxinas en embalses de agua de consumo y pesca</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</si>
  <si>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</si>
  <si>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</si>
  <si>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</si>
  <si>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</si>
  <si>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</si>
  <si>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</si>
  <si>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</si>
  <si>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</si>
  <si>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</si>
  <si>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</si>
  <si>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</si>
  <si>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</si>
  <si>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</si>
  <si>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</si>
  <si>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</si>
  <si>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</si>
  <si>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</si>
  <si>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</si>
  <si>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</si>
  <si>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</si>
  <si>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</si>
  <si>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</si>
  <si>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</si>
  <si>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</si>
  <si>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</si>
  <si>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</si>
  <si>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</si>
  <si>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</si>
  <si>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</si>
  <si>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</si>
  <si>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</si>
  <si>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</si>
  <si>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</si>
  <si>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</si>
  <si>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</si>
  <si>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</si>
  <si>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</si>
  <si>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</si>
  <si>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</si>
  <si>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</si>
  <si>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</si>
  <si>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</si>
  <si>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</si>
  <si>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</si>
  <si>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</si>
  <si>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</si>
  <si>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</si>
  <si>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</si>
  <si>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</si>
  <si>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</si>
  <si>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</si>
  <si>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</si>
  <si>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</si>
  <si>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</si>
  <si>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</si>
  <si>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</si>
  <si>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</si>
  <si>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</si>
  <si>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</si>
  <si>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</si>
  <si>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</si>
  <si>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</si>
  <si>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</si>
  <si>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</si>
  <si>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</si>
  <si>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</si>
  <si>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</si>
  <si>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</si>
  <si>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</si>
  <si>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</si>
  <si>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</si>
  <si>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</si>
  <si>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</si>
  <si>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</si>
  <si>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</si>
  <si>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</si>
  <si>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</si>
  <si>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</si>
  <si>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</si>
  <si>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</si>
  <si>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</si>
  <si>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</si>
  <si>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</si>
  <si>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</si>
  <si>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</si>
  <si>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</si>
  <si>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</si>
  <si>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</si>
  <si>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</si>
  <si>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</si>
  <si>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</si>
  <si>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</si>
  <si>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</si>
  <si>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</si>
  <si>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</si>
  <si>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</si>
  <si>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</si>
  <si>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</si>
  <si>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</si>
  <si>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</si>
  <si>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</si>
  <si>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</si>
  <si>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</si>
  <si>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</si>
  <si>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</si>
  <si>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</si>
  <si>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</si>
  <si>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</si>
  <si>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</si>
  <si>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</si>
  <si>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</si>
  <si>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</si>
  <si>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</si>
  <si>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</si>
  <si>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</si>
  <si>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</si>
  <si>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</si>
  <si>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</si>
  <si>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</si>
  <si>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</si>
  <si>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</si>
  <si>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</si>
  <si>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</si>
  <si>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</si>
  <si>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</si>
  <si>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</si>
  <si>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</si>
  <si>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</si>
  <si>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</si>
  <si>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</si>
  <si>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</si>
  <si>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</si>
  <si>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</si>
  <si>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</si>
  <si>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</si>
  <si>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</si>
  <si>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</si>
  <si>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</si>
  <si>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</si>
  <si>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</si>
  <si>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</si>
  <si>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</si>
  <si>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</si>
  <si>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</si>
  <si>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</si>
  <si>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</si>
  <si>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</si>
  <si>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</si>
  <si>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</si>
  <si>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</si>
  <si>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</si>
  <si>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</si>
  <si>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</si>
  <si>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</si>
  <si>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</si>
  <si>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</si>
  <si>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</si>
  <si>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</si>
  <si>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</si>
  <si>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</si>
  <si>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</si>
  <si>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</si>
  <si>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</si>
  <si>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</si>
  <si>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</si>
  <si>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</si>
  <si>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</si>
  <si>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</si>
  <si>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</si>
  <si>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</si>
  <si>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</si>
  <si>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</si>
  <si>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</si>
  <si>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</si>
  <si>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</si>
  <si>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</si>
  <si>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</si>
  <si>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</si>
  <si>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</si>
  <si>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</si>
  <si>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</si>
  <si>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</si>
  <si>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</si>
  <si>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</si>
  <si>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</si>
  <si>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</si>
  <si>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</si>
  <si>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</si>
  <si>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</si>
  <si>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</si>
  <si>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</si>
  <si>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</si>
  <si>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</si>
  <si>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</si>
  <si>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</si>
  <si>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</si>
  <si>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</si>
  <si>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</si>
  <si>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</si>
  <si>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</si>
  <si>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</si>
  <si>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</si>
  <si>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</si>
  <si>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</si>
  <si>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</si>
  <si>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</si>
  <si>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</si>
  <si>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</si>
  <si>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</si>
  <si>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</si>
  <si>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</si>
  <si>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</si>
  <si>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</si>
  <si>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</si>
  <si>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</si>
  <si>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</si>
  <si>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</si>
  <si>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</si>
  <si>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</si>
  <si>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</si>
  <si>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</si>
  <si>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</si>
  <si>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</si>
  <si>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</si>
  <si>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</si>
  <si>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</si>
  <si>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</si>
  <si>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</si>
  <si>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</si>
  <si>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</si>
  <si>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</si>
  <si>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</si>
  <si>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</si>
  <si>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</si>
  <si>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</si>
  <si>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</si>
  <si>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</si>
  <si>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</si>
  <si>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</si>
  <si>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</si>
  <si>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</si>
  <si>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</si>
  <si>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</si>
  <si>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</si>
  <si>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</si>
  <si>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</si>
  <si>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</si>
  <si>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</si>
  <si>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</si>
  <si>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</si>
  <si>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</si>
  <si>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</si>
  <si>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</si>
  <si>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</si>
  <si>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</si>
  <si>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</si>
  <si>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</si>
  <si>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</si>
  <si>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</si>
  <si>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</si>
  <si>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</si>
  <si>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</si>
  <si>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</si>
  <si>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</si>
  <si>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Evaluación de la producción en continuo de biocrudo mediante la licuefacción hidrotérmica de microalgas altamente eficientes para capturar CO2.  CV84200108</t>
  </si>
  <si>
    <t>50-1-941</t>
  </si>
  <si>
    <t>ES84190024</t>
  </si>
  <si>
    <t>ES84190058</t>
  </si>
  <si>
    <t>ES84190064</t>
  </si>
  <si>
    <t>Fijación de CO2 en epóxidos de aceites esenciales para la síntesis de carbonatos cíclicos mediante procesos catalíticos heterogéneos</t>
  </si>
  <si>
    <t>ES84200113</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</si>
  <si>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</si>
  <si>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</si>
  <si>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</si>
  <si>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</si>
  <si>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</si>
  <si>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</si>
  <si>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</si>
  <si>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</si>
  <si>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</si>
  <si>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</si>
  <si>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</si>
  <si>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</si>
  <si>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</si>
  <si>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</si>
  <si>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</si>
  <si>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</si>
  <si>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</si>
  <si>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</si>
  <si>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</si>
  <si>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</si>
  <si>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</si>
  <si>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</si>
  <si>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</si>
  <si>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</si>
  <si>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</si>
  <si>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</si>
  <si>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</si>
  <si>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</si>
  <si>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</si>
  <si>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</si>
  <si>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</si>
  <si>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</si>
  <si>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</si>
  <si>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</si>
  <si>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</si>
  <si>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</si>
  <si>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</si>
  <si>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</si>
  <si>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</si>
  <si>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</si>
  <si>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</si>
  <si>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</si>
  <si>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</si>
  <si>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</si>
  <si>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</si>
  <si>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</si>
  <si>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</si>
  <si>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</si>
  <si>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</si>
  <si>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</si>
  <si>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</si>
  <si>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</si>
  <si>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</si>
  <si>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</si>
  <si>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</si>
  <si>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</si>
  <si>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</si>
  <si>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</si>
  <si>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</si>
  <si>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</si>
  <si>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</si>
  <si>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</si>
  <si>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</si>
  <si>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</si>
  <si>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</si>
  <si>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</si>
  <si>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</si>
  <si>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</si>
  <si>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</si>
  <si>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12-1-1011</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</si>
  <si>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</si>
  <si>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</si>
  <si>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</si>
  <si>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</si>
  <si>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</si>
  <si>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</si>
  <si>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</si>
  <si>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</si>
  <si>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</si>
  <si>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</si>
  <si>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</si>
  <si>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</si>
  <si>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</si>
  <si>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</si>
  <si>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</si>
  <si>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</si>
  <si>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</si>
  <si>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</si>
  <si>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</si>
  <si>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05-1-1001</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</si>
  <si>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</si>
  <si>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</si>
  <si>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</si>
  <si>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</si>
  <si>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</si>
  <si>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</si>
  <si>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</si>
  <si>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</si>
  <si>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</si>
  <si>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</si>
  <si>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</si>
  <si>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</si>
  <si>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</si>
  <si>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</si>
  <si>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</si>
  <si>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</si>
  <si>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</si>
  <si>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</si>
  <si>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</si>
  <si>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</si>
  <si>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</si>
  <si>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</si>
  <si>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</si>
  <si>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</si>
  <si>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</si>
  <si>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</si>
  <si>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</si>
  <si>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</si>
  <si>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</si>
  <si>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</si>
  <si>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</si>
  <si>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</si>
  <si>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</si>
  <si>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</si>
  <si>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</si>
  <si>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</si>
  <si>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</si>
  <si>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</si>
  <si>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</si>
  <si>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</si>
  <si>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</si>
  <si>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</si>
  <si>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</si>
  <si>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</si>
  <si>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</si>
  <si>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</si>
  <si>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</si>
  <si>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</si>
  <si>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</si>
  <si>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</si>
  <si>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</si>
  <si>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</si>
  <si>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</si>
  <si>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</si>
  <si>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</si>
  <si>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</si>
  <si>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</si>
  <si>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</si>
  <si>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</si>
  <si>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</si>
  <si>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</si>
  <si>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</si>
  <si>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</si>
  <si>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</si>
  <si>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</si>
  <si>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</si>
  <si>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</si>
  <si>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</si>
  <si>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</si>
  <si>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</si>
  <si>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</si>
  <si>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</si>
  <si>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</si>
  <si>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</si>
  <si>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</si>
  <si>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</si>
  <si>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</si>
  <si>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</si>
  <si>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</si>
  <si>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</si>
  <si>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</si>
  <si>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</si>
  <si>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</si>
  <si>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</si>
  <si>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</si>
  <si>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</si>
  <si>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</si>
  <si>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</si>
  <si>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</si>
  <si>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</si>
  <si>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</si>
  <si>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</si>
  <si>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</si>
  <si>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</si>
  <si>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</si>
  <si>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</si>
  <si>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</si>
  <si>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</si>
  <si>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</si>
  <si>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</si>
  <si>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</si>
  <si>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</si>
  <si>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</si>
  <si>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</si>
  <si>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5-1-867</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</si>
  <si>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</si>
  <si>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</si>
  <si>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</si>
  <si>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</si>
  <si>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5-1-978</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</si>
  <si>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</si>
  <si>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</si>
  <si>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</si>
  <si>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</si>
  <si>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</si>
  <si>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</si>
  <si>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</si>
  <si>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</si>
  <si>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</si>
  <si>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</si>
  <si>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</si>
  <si>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</si>
  <si>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</si>
  <si>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</si>
  <si>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</si>
  <si>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</si>
  <si>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</si>
  <si>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ADENOMACARCINOMA GÁSTRICO Y EVIDENCIA DE INFECCIÓN POR VIRUS EPSTEIN BARR</t>
  </si>
  <si>
    <t>31-1-1016</t>
  </si>
  <si>
    <t>ES84190012</t>
  </si>
  <si>
    <t>ES84190048</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</si>
  <si>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</si>
  <si>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</si>
  <si>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</si>
  <si>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</si>
  <si>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</si>
  <si>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</si>
  <si>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</si>
  <si>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</si>
  <si>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</si>
  <si>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</si>
  <si>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</si>
  <si>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</si>
  <si>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</si>
  <si>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</si>
  <si>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</si>
  <si>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</si>
  <si>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</si>
  <si>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</si>
  <si>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</si>
  <si>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</si>
  <si>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</si>
  <si>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</si>
  <si>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</si>
  <si>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</si>
  <si>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</si>
  <si>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</si>
  <si>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Geo-catálisis: valorización de ilmenita proveniente de residuos mineros</t>
  </si>
  <si>
    <t>37-1-1025</t>
  </si>
  <si>
    <t>Entrelazamiento, coherencia y correlación en sistemas atómicos y moleculares</t>
  </si>
  <si>
    <t>ES84170121</t>
  </si>
  <si>
    <t>Estudio del efecto del gen LRRK2 nulo en un modelo neuronal de Parkinson: Estrategia _x000D_
Terapéutica</t>
  </si>
  <si>
    <t>ES84170165</t>
  </si>
  <si>
    <t>Evaluación del efecto de derivados de la planta Cannabis sativa en un modelo de Parkinson: Uso medicinal de la_x000D_
marihuana en el oriente antioqueño</t>
  </si>
  <si>
    <t>10-1-899</t>
  </si>
  <si>
    <t>Carga de la enfermedad y calidad de vida de pacientes adultos y adolescentes con eccema atópico-Caracterización clínica y sociodemográfica</t>
  </si>
  <si>
    <t>63-1-943</t>
  </si>
  <si>
    <t xml:space="preserve">Mecanismos de daño y disfunción endotelial en el síndrome antifosfolípido: ¿hay diferencia de acuerdo a las manifestaciones clínicas del síndrome? _x000D_
_x000D_
</t>
  </si>
  <si>
    <t>09-1-832</t>
  </si>
  <si>
    <t>Interaction between antiphospholipid antibodies, endothelial cell-derived extracellular vesicles and monocytes in antiphospholipid syndrome
Proyecto en convenio con German Research Foundation Deutsche Forschungsgemienschaft</t>
  </si>
  <si>
    <t>Ricardo Antonio Torres Palma</t>
  </si>
  <si>
    <t>Desarrollo de nuevos péptidos derivados de la crotalicidina como potenciales agentes antimicrobinas para el tratamiento de aislados clínicos de Staphylococcus aures resistente a antibióticos (63040)</t>
  </si>
  <si>
    <t>54-1-841</t>
  </si>
  <si>
    <t>Inmunological and Genetic characterization of Colombian patients with Epidermodysplasia Verruciformis (EV) and Recalcitrant Warts (RW)</t>
  </si>
  <si>
    <t>07-1-769</t>
  </si>
  <si>
    <t>Identifying Monogenic inborn errors of innate immunity underlying fungal and parasites infections in Colombian Patients</t>
  </si>
  <si>
    <t>07-1-826</t>
  </si>
  <si>
    <t>ES84210020</t>
  </si>
  <si>
    <t>Ganancia de peso gestacional de adolescentes latinoamericanas y su asociación con el peso al nacer del neonato</t>
  </si>
  <si>
    <t>46-1-969</t>
  </si>
  <si>
    <t>Estado nutricional materno, ingesta dietética y microbiota de la leche materna</t>
  </si>
  <si>
    <t>46-1-970</t>
  </si>
  <si>
    <t>58-1-1032</t>
  </si>
  <si>
    <t>Formación Nacional de alto nivel en la Universidad de Antioquia</t>
  </si>
  <si>
    <t>62-1-1031</t>
  </si>
  <si>
    <t>Impact of the high n-6 polyunsaturated fatty acid intake and/or maternal obesity on neurodevelopment. Is there an essential contribution of dietary n-3 fatty acids?</t>
  </si>
  <si>
    <t>46-1-1035</t>
  </si>
  <si>
    <t>Identificación de la arquitectura genómica de isla de resistencia en el resistoma de Pseudomonas aruginosas Pseudonomas</t>
  </si>
  <si>
    <t>13-1-771</t>
  </si>
  <si>
    <t>Trayectoria e impacto de la estrategia semilleros de investigación de la universidad de Antioquia durante el periodo 2013-2022</t>
  </si>
  <si>
    <t>36-1-1037</t>
  </si>
  <si>
    <t>Tumor-Muscle Tissue Crosstalk in Cancer Cachexia. ELEMENTO PEP CV84200117</t>
  </si>
  <si>
    <t>TITULO</t>
  </si>
  <si>
    <t>Se requiere pago de servicio, ya que es una adquisición de insumos necesarios para la investigación científica y el desarrollo tecnológico y de nuevos productos y procesos, derivado del proyecto de investigación:</t>
  </si>
  <si>
    <t>Se requiere compra de productos, ya que es una adquisición de insumos necesarios para la investigación científica y el desarrollo tecnológico y de nuevos productos y procesos, derivado del proyecto de investigación:</t>
  </si>
  <si>
    <t>&gt;&gt;&gt; SELECCIONE UNA OPCIÓN DE LA LISTA PARA LA DESCRIPCIÓN DEL PRODUCTO &lt;&lt;&lt;</t>
  </si>
  <si>
    <t>Producción de gas de síntesis a partir de gases de combustión industriales ricos en CO2 usando reacciones de tri-reformado</t>
  </si>
  <si>
    <t>37-1-759</t>
  </si>
  <si>
    <t>Extracto estandarizado de triterpenos nano-vehiculizados que modulan la hiperglucemia y resistencia a la insulina en biomodelos de pre-diabetes tipo 2 asociada con obesidad.
COEJECUTOR</t>
  </si>
  <si>
    <t>Efectividad en el mundo real de la vacuna SINOVAC en la población colombiana</t>
  </si>
  <si>
    <t>05-1-1042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</si>
</sst>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6"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
      <i/>
      <sz val="11"/>
      <color theme="0" tint="-0.34998626667073579"/>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7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14" fillId="0" borderId="0" xfId="0" applyFont="1" applyAlignment="1">
      <alignment vertical="center" wrapText="1"/>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15" fillId="0" borderId="1" xfId="2" applyNumberFormat="1" applyFont="1" applyBorder="1" applyAlignment="1" applyProtection="1">
      <alignment horizontal="left" vertical="center"/>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2" fillId="2" borderId="11"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P15" sqref="P15"/>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61"/>
      <c r="D1" s="61"/>
      <c r="E1" s="61"/>
      <c r="F1" s="61"/>
      <c r="G1" s="61"/>
      <c r="H1" s="61"/>
      <c r="I1" s="61"/>
      <c r="J1" s="61"/>
      <c r="K1" s="61"/>
      <c r="L1" s="61"/>
    </row>
    <row r="2" spans="1:16" ht="15" customHeight="1" x14ac:dyDescent="0.25">
      <c r="C2" s="76"/>
      <c r="D2" s="77"/>
      <c r="E2" s="77"/>
      <c r="F2" s="77"/>
      <c r="G2" s="77"/>
      <c r="H2" s="77"/>
      <c r="I2" s="77"/>
      <c r="J2" s="77"/>
      <c r="K2" s="77"/>
      <c r="L2" s="77"/>
    </row>
    <row r="3" spans="1:16" ht="18" customHeight="1" x14ac:dyDescent="0.25">
      <c r="A3" s="79"/>
      <c r="B3" s="79"/>
      <c r="C3" s="79"/>
      <c r="D3" s="80" t="s">
        <v>402</v>
      </c>
      <c r="E3" s="81"/>
      <c r="F3" s="81"/>
      <c r="G3" s="81"/>
      <c r="H3" s="81"/>
      <c r="I3" s="81"/>
      <c r="J3" s="81"/>
      <c r="K3" s="81"/>
      <c r="L3" s="82"/>
      <c r="O3" s="61"/>
      <c r="P3" s="61"/>
    </row>
    <row r="4" spans="1:16" ht="18" customHeight="1" x14ac:dyDescent="0.25">
      <c r="A4" s="79"/>
      <c r="B4" s="79"/>
      <c r="C4" s="79"/>
      <c r="D4" s="62" t="s">
        <v>0</v>
      </c>
      <c r="E4" s="63"/>
      <c r="F4" s="63"/>
      <c r="G4" s="63"/>
      <c r="H4" s="63"/>
      <c r="I4" s="63"/>
      <c r="J4" s="63"/>
      <c r="K4" s="63"/>
      <c r="L4" s="64"/>
      <c r="O4" s="61"/>
      <c r="P4" s="61"/>
    </row>
    <row r="5" spans="1:16" ht="18" customHeight="1" x14ac:dyDescent="0.25">
      <c r="A5" s="79"/>
      <c r="B5" s="79"/>
      <c r="C5" s="79"/>
      <c r="D5" s="62" t="s">
        <v>1</v>
      </c>
      <c r="E5" s="63"/>
      <c r="F5" s="63"/>
      <c r="G5" s="63"/>
      <c r="H5" s="63"/>
      <c r="I5" s="63"/>
      <c r="J5" s="63"/>
      <c r="K5" s="63"/>
      <c r="L5" s="64"/>
    </row>
    <row r="6" spans="1:16" ht="18" customHeight="1" x14ac:dyDescent="0.25">
      <c r="A6" s="79"/>
      <c r="B6" s="79"/>
      <c r="C6" s="79"/>
      <c r="D6" s="65" t="s">
        <v>2</v>
      </c>
      <c r="E6" s="66"/>
      <c r="F6" s="66"/>
      <c r="G6" s="66"/>
      <c r="H6" s="66"/>
      <c r="I6" s="66"/>
      <c r="J6" s="66"/>
      <c r="K6" s="66"/>
      <c r="L6" s="67"/>
    </row>
    <row r="7" spans="1:16" ht="20.100000000000001" customHeight="1" x14ac:dyDescent="0.25">
      <c r="C7" s="61"/>
      <c r="D7" s="61"/>
      <c r="E7" s="61"/>
      <c r="F7" s="61"/>
      <c r="G7" s="61"/>
      <c r="H7" s="61"/>
      <c r="I7" s="61"/>
      <c r="J7" s="61"/>
      <c r="K7" s="61"/>
      <c r="L7" s="61"/>
    </row>
    <row r="8" spans="1:16" s="2" customFormat="1" ht="30" customHeight="1" x14ac:dyDescent="0.25">
      <c r="A8" s="78" t="s">
        <v>85</v>
      </c>
      <c r="B8" s="78"/>
      <c r="C8" s="78" t="s">
        <v>3</v>
      </c>
      <c r="D8" s="78"/>
      <c r="E8" s="78" t="s">
        <v>4</v>
      </c>
      <c r="F8" s="78"/>
      <c r="G8" s="78" t="s">
        <v>5</v>
      </c>
      <c r="H8" s="78"/>
      <c r="I8" s="78" t="s">
        <v>67</v>
      </c>
      <c r="J8" s="78"/>
      <c r="K8" s="78" t="s">
        <v>68</v>
      </c>
      <c r="L8" s="78"/>
    </row>
    <row r="9" spans="1:16" ht="30" customHeight="1" x14ac:dyDescent="0.25">
      <c r="A9" s="69"/>
      <c r="B9" s="69"/>
      <c r="C9" s="69"/>
      <c r="D9" s="69"/>
      <c r="E9" s="69"/>
      <c r="F9" s="69"/>
      <c r="G9" s="84" t="str">
        <f>IF(E9="","",IFERROR(VLOOKUP(E9,Parámetros_Investigadores!A2:B221,2,FALSE),"No se encontró"))</f>
        <v/>
      </c>
      <c r="H9" s="84"/>
      <c r="I9" s="69"/>
      <c r="J9" s="69"/>
      <c r="K9" s="75"/>
      <c r="L9" s="75"/>
    </row>
    <row r="10" spans="1:16" ht="30" customHeight="1" x14ac:dyDescent="0.25">
      <c r="A10" s="69"/>
      <c r="B10" s="69"/>
      <c r="C10" s="69"/>
      <c r="D10" s="69"/>
      <c r="E10" s="69"/>
      <c r="F10" s="69"/>
      <c r="G10" s="84"/>
      <c r="H10" s="84"/>
      <c r="I10" s="69"/>
      <c r="J10" s="69"/>
      <c r="K10" s="75"/>
      <c r="L10" s="75"/>
    </row>
    <row r="11" spans="1:16" ht="30" customHeight="1" x14ac:dyDescent="0.25">
      <c r="A11" s="73" t="s">
        <v>69</v>
      </c>
      <c r="B11" s="73"/>
      <c r="C11" s="73"/>
      <c r="D11" s="73"/>
      <c r="E11" s="73"/>
      <c r="F11" s="73"/>
      <c r="G11" s="73"/>
      <c r="H11" s="73"/>
      <c r="I11" s="73"/>
      <c r="J11" s="73"/>
      <c r="K11" s="73"/>
      <c r="L11" s="73"/>
    </row>
    <row r="12" spans="1:16" ht="34.5" customHeight="1" x14ac:dyDescent="0.25">
      <c r="A12" s="89" t="s">
        <v>707</v>
      </c>
      <c r="B12" s="89"/>
      <c r="C12" s="89"/>
      <c r="D12" s="89"/>
      <c r="E12" s="89"/>
      <c r="F12" s="89"/>
      <c r="G12" s="89"/>
      <c r="H12" s="89"/>
      <c r="I12" s="89"/>
      <c r="J12" s="89"/>
      <c r="K12" s="89"/>
      <c r="L12" s="89"/>
    </row>
    <row r="13" spans="1:16" ht="54" customHeight="1" x14ac:dyDescent="0.25">
      <c r="A13" s="87" t="s">
        <v>10</v>
      </c>
      <c r="B13" s="88"/>
      <c r="C13" s="90"/>
      <c r="D13" s="91"/>
      <c r="E13" s="91"/>
      <c r="F13" s="91"/>
      <c r="G13" s="91"/>
      <c r="H13" s="91"/>
      <c r="I13" s="68" t="s">
        <v>485</v>
      </c>
      <c r="J13" s="68"/>
      <c r="K13" s="92"/>
      <c r="L13" s="93"/>
    </row>
    <row r="14" spans="1:16" ht="30" customHeight="1" x14ac:dyDescent="0.25">
      <c r="A14" s="68" t="s">
        <v>70</v>
      </c>
      <c r="B14" s="68"/>
      <c r="C14" s="69"/>
      <c r="D14" s="69"/>
      <c r="E14" s="68" t="s">
        <v>11</v>
      </c>
      <c r="F14" s="68"/>
      <c r="G14" s="69"/>
      <c r="H14" s="69"/>
      <c r="I14" s="68" t="s">
        <v>26</v>
      </c>
      <c r="J14" s="68"/>
      <c r="K14" s="85"/>
      <c r="L14" s="86"/>
    </row>
    <row r="15" spans="1:16" s="2" customFormat="1" ht="30" customHeight="1" x14ac:dyDescent="0.25">
      <c r="A15" s="70" t="s">
        <v>71</v>
      </c>
      <c r="B15" s="70"/>
      <c r="C15" s="70"/>
      <c r="D15" s="70"/>
      <c r="E15" s="70"/>
      <c r="F15" s="70"/>
      <c r="G15" s="70"/>
      <c r="H15" s="70"/>
      <c r="I15" s="70"/>
      <c r="J15" s="70"/>
      <c r="K15" s="70"/>
      <c r="L15" s="70"/>
    </row>
    <row r="16" spans="1:16" ht="30" customHeight="1" x14ac:dyDescent="0.25">
      <c r="A16" s="71" t="s">
        <v>174</v>
      </c>
      <c r="B16" s="71"/>
      <c r="C16" s="71"/>
      <c r="D16" s="72" t="s">
        <v>708</v>
      </c>
      <c r="E16" s="72"/>
      <c r="F16" s="72"/>
      <c r="G16" s="72"/>
      <c r="H16" s="72"/>
      <c r="I16" s="72"/>
      <c r="J16" s="72"/>
      <c r="K16" s="71" t="s">
        <v>73</v>
      </c>
      <c r="L16" s="71"/>
    </row>
    <row r="17" spans="1:12" ht="30" customHeight="1" x14ac:dyDescent="0.25">
      <c r="A17" s="83"/>
      <c r="B17" s="83"/>
      <c r="C17" s="83"/>
      <c r="D17" s="83"/>
      <c r="E17" s="83"/>
      <c r="F17" s="83"/>
      <c r="G17" s="83"/>
      <c r="H17" s="83"/>
      <c r="I17" s="83"/>
      <c r="J17" s="83"/>
      <c r="K17" s="69"/>
      <c r="L17" s="69"/>
    </row>
    <row r="18" spans="1:12" ht="30" customHeight="1" x14ac:dyDescent="0.25">
      <c r="A18" s="83"/>
      <c r="B18" s="83"/>
      <c r="C18" s="83"/>
      <c r="D18" s="83"/>
      <c r="E18" s="83"/>
      <c r="F18" s="83"/>
      <c r="G18" s="83"/>
      <c r="H18" s="83"/>
      <c r="I18" s="83"/>
      <c r="J18" s="83"/>
      <c r="K18" s="69"/>
      <c r="L18" s="69"/>
    </row>
    <row r="19" spans="1:12" ht="30" customHeight="1" x14ac:dyDescent="0.25">
      <c r="A19" s="83"/>
      <c r="B19" s="83"/>
      <c r="C19" s="83"/>
      <c r="D19" s="83"/>
      <c r="E19" s="83"/>
      <c r="F19" s="83"/>
      <c r="G19" s="83"/>
      <c r="H19" s="83"/>
      <c r="I19" s="83"/>
      <c r="J19" s="83"/>
      <c r="K19" s="69"/>
      <c r="L19" s="69"/>
    </row>
    <row r="20" spans="1:12" ht="30" customHeight="1" x14ac:dyDescent="0.25">
      <c r="A20" s="83"/>
      <c r="B20" s="83"/>
      <c r="C20" s="83"/>
      <c r="D20" s="83"/>
      <c r="E20" s="83"/>
      <c r="F20" s="83"/>
      <c r="G20" s="83"/>
      <c r="H20" s="83"/>
      <c r="I20" s="83"/>
      <c r="J20" s="83"/>
      <c r="K20" s="69"/>
      <c r="L20" s="69"/>
    </row>
    <row r="21" spans="1:12" ht="30" customHeight="1" x14ac:dyDescent="0.25">
      <c r="A21" s="83"/>
      <c r="B21" s="83"/>
      <c r="C21" s="83"/>
      <c r="D21" s="83"/>
      <c r="E21" s="83"/>
      <c r="F21" s="83"/>
      <c r="G21" s="83"/>
      <c r="H21" s="83"/>
      <c r="I21" s="83"/>
      <c r="J21" s="83"/>
      <c r="K21" s="69"/>
      <c r="L21" s="69"/>
    </row>
    <row r="22" spans="1:12" ht="30" customHeight="1" x14ac:dyDescent="0.25">
      <c r="A22" s="83"/>
      <c r="B22" s="83"/>
      <c r="C22" s="83"/>
      <c r="D22" s="83"/>
      <c r="E22" s="83"/>
      <c r="F22" s="83"/>
      <c r="G22" s="83"/>
      <c r="H22" s="83"/>
      <c r="I22" s="83"/>
      <c r="J22" s="83"/>
      <c r="K22" s="69"/>
      <c r="L22" s="69"/>
    </row>
    <row r="23" spans="1:12" ht="30" customHeight="1" x14ac:dyDescent="0.25">
      <c r="A23" s="83"/>
      <c r="B23" s="83"/>
      <c r="C23" s="83"/>
      <c r="D23" s="83"/>
      <c r="E23" s="83"/>
      <c r="F23" s="83"/>
      <c r="G23" s="83"/>
      <c r="H23" s="83"/>
      <c r="I23" s="83"/>
      <c r="J23" s="83"/>
      <c r="K23" s="69"/>
      <c r="L23" s="69"/>
    </row>
    <row r="24" spans="1:12" ht="30" customHeight="1" x14ac:dyDescent="0.25">
      <c r="A24" s="83"/>
      <c r="B24" s="83"/>
      <c r="C24" s="83"/>
      <c r="D24" s="83"/>
      <c r="E24" s="83"/>
      <c r="F24" s="83"/>
      <c r="G24" s="83"/>
      <c r="H24" s="83"/>
      <c r="I24" s="83"/>
      <c r="J24" s="83"/>
      <c r="K24" s="69"/>
      <c r="L24" s="69"/>
    </row>
    <row r="25" spans="1:12" ht="30" customHeight="1" x14ac:dyDescent="0.25">
      <c r="A25" s="83"/>
      <c r="B25" s="83"/>
      <c r="C25" s="83"/>
      <c r="D25" s="83"/>
      <c r="E25" s="83"/>
      <c r="F25" s="83"/>
      <c r="G25" s="83"/>
      <c r="H25" s="83"/>
      <c r="I25" s="83"/>
      <c r="J25" s="83"/>
      <c r="K25" s="69"/>
      <c r="L25" s="69"/>
    </row>
    <row r="26" spans="1:12" ht="30" customHeight="1" x14ac:dyDescent="0.25">
      <c r="A26" s="83"/>
      <c r="B26" s="83"/>
      <c r="C26" s="83"/>
      <c r="D26" s="83"/>
      <c r="E26" s="83"/>
      <c r="F26" s="83"/>
      <c r="G26" s="83"/>
      <c r="H26" s="83"/>
      <c r="I26" s="83"/>
      <c r="J26" s="83"/>
      <c r="K26" s="69"/>
      <c r="L26" s="69"/>
    </row>
    <row r="27" spans="1:12" ht="30" customHeight="1" x14ac:dyDescent="0.25">
      <c r="A27" s="83"/>
      <c r="B27" s="83"/>
      <c r="C27" s="83"/>
      <c r="D27" s="83"/>
      <c r="E27" s="83"/>
      <c r="F27" s="83"/>
      <c r="G27" s="83"/>
      <c r="H27" s="83"/>
      <c r="I27" s="83"/>
      <c r="J27" s="83"/>
      <c r="K27" s="69"/>
      <c r="L27" s="69"/>
    </row>
    <row r="28" spans="1:12" s="2" customFormat="1" ht="30" customHeight="1" x14ac:dyDescent="0.25">
      <c r="A28" s="70" t="s">
        <v>83</v>
      </c>
      <c r="B28" s="70"/>
      <c r="C28" s="70"/>
      <c r="D28" s="70"/>
      <c r="E28" s="70"/>
      <c r="F28" s="70"/>
      <c r="G28" s="70"/>
      <c r="H28" s="70"/>
      <c r="I28" s="70"/>
      <c r="J28" s="70"/>
      <c r="K28" s="70"/>
      <c r="L28" s="70"/>
    </row>
    <row r="29" spans="1:12" ht="30" customHeight="1" x14ac:dyDescent="0.25">
      <c r="A29" s="94" t="str">
        <f>IF(K41="","Este campo se diligenciará automáticamente una vez seleccione el proveedor a contratar",K41)</f>
        <v>Este campo se diligenciará automáticamente una vez seleccione el proveedor a contratar</v>
      </c>
      <c r="B29" s="94"/>
      <c r="C29" s="94"/>
      <c r="D29" s="94"/>
      <c r="E29" s="94"/>
      <c r="F29" s="94"/>
      <c r="G29" s="94"/>
      <c r="H29" s="94"/>
      <c r="I29" s="94"/>
      <c r="J29" s="94"/>
      <c r="K29" s="94"/>
      <c r="L29" s="94"/>
    </row>
    <row r="30" spans="1:12" ht="30" customHeight="1" x14ac:dyDescent="0.25">
      <c r="A30" s="70" t="s">
        <v>15</v>
      </c>
      <c r="B30" s="70"/>
      <c r="C30" s="70"/>
      <c r="D30" s="70"/>
      <c r="E30" s="70"/>
      <c r="F30" s="70"/>
      <c r="G30" s="70"/>
      <c r="H30" s="70"/>
      <c r="I30" s="70"/>
      <c r="J30" s="70"/>
      <c r="K30" s="70"/>
      <c r="L30" s="70"/>
    </row>
    <row r="31" spans="1:12" ht="30" customHeight="1" x14ac:dyDescent="0.25">
      <c r="A31" s="26" t="s">
        <v>13</v>
      </c>
      <c r="B31" s="25"/>
      <c r="C31" s="26" t="s">
        <v>14</v>
      </c>
      <c r="D31" s="25"/>
      <c r="E31" s="97"/>
      <c r="F31" s="98"/>
      <c r="G31" s="98"/>
      <c r="H31" s="98"/>
      <c r="I31" s="98"/>
      <c r="J31" s="98"/>
      <c r="K31" s="98"/>
      <c r="L31" s="99"/>
    </row>
    <row r="32" spans="1:12" ht="24" customHeight="1" x14ac:dyDescent="0.25">
      <c r="A32" s="79"/>
      <c r="B32" s="79"/>
      <c r="C32" s="79"/>
      <c r="D32" s="79"/>
      <c r="E32" s="79"/>
      <c r="F32" s="79"/>
      <c r="G32" s="79"/>
      <c r="H32" s="79"/>
      <c r="I32" s="79"/>
      <c r="J32" s="79"/>
      <c r="K32" s="79"/>
      <c r="L32" s="79"/>
    </row>
    <row r="33" spans="1:12" ht="30" customHeight="1" x14ac:dyDescent="0.25">
      <c r="A33" s="70" t="s">
        <v>19</v>
      </c>
      <c r="B33" s="70"/>
      <c r="C33" s="70"/>
      <c r="D33" s="70"/>
      <c r="E33" s="70"/>
      <c r="F33" s="70"/>
      <c r="G33" s="70"/>
      <c r="H33" s="70"/>
      <c r="I33" s="70"/>
      <c r="J33" s="70"/>
      <c r="K33" s="70"/>
      <c r="L33" s="70"/>
    </row>
    <row r="34" spans="1:12" ht="30" customHeight="1" x14ac:dyDescent="0.25">
      <c r="A34" s="26" t="s">
        <v>18</v>
      </c>
      <c r="B34" s="78" t="s">
        <v>16</v>
      </c>
      <c r="C34" s="78"/>
      <c r="D34" s="78" t="s">
        <v>17</v>
      </c>
      <c r="E34" s="78"/>
      <c r="F34" s="27" t="s">
        <v>6</v>
      </c>
      <c r="G34" s="78" t="s">
        <v>81</v>
      </c>
      <c r="H34" s="78"/>
      <c r="I34" s="78" t="s">
        <v>86</v>
      </c>
      <c r="J34" s="78"/>
      <c r="K34" s="78" t="s">
        <v>87</v>
      </c>
      <c r="L34" s="78"/>
    </row>
    <row r="35" spans="1:12" ht="30" customHeight="1" x14ac:dyDescent="0.25">
      <c r="A35" s="24">
        <v>1</v>
      </c>
      <c r="B35" s="36"/>
      <c r="C35" s="35"/>
      <c r="D35" s="75"/>
      <c r="E35" s="75"/>
      <c r="F35" s="30"/>
      <c r="G35" s="75"/>
      <c r="H35" s="75"/>
      <c r="I35" s="74"/>
      <c r="J35" s="74"/>
      <c r="K35" s="74"/>
      <c r="L35" s="74"/>
    </row>
    <row r="36" spans="1:12" ht="30" customHeight="1" x14ac:dyDescent="0.25">
      <c r="A36" s="24">
        <v>2</v>
      </c>
      <c r="B36" s="36"/>
      <c r="C36" s="35"/>
      <c r="D36" s="75"/>
      <c r="E36" s="75"/>
      <c r="F36" s="30"/>
      <c r="G36" s="75"/>
      <c r="H36" s="75"/>
      <c r="I36" s="74"/>
      <c r="J36" s="74"/>
      <c r="K36" s="74"/>
      <c r="L36" s="74"/>
    </row>
    <row r="37" spans="1:12" ht="30" customHeight="1" x14ac:dyDescent="0.25">
      <c r="A37" s="24">
        <v>3</v>
      </c>
      <c r="B37" s="36"/>
      <c r="C37" s="35"/>
      <c r="D37" s="75"/>
      <c r="E37" s="75"/>
      <c r="F37" s="30"/>
      <c r="G37" s="75"/>
      <c r="H37" s="75"/>
      <c r="I37" s="74"/>
      <c r="J37" s="74"/>
      <c r="K37" s="74"/>
      <c r="L37" s="74"/>
    </row>
    <row r="38" spans="1:12" ht="30" customHeight="1" x14ac:dyDescent="0.25">
      <c r="A38" s="24">
        <v>4</v>
      </c>
      <c r="B38" s="36"/>
      <c r="C38" s="35"/>
      <c r="D38" s="75"/>
      <c r="E38" s="75"/>
      <c r="F38" s="30"/>
      <c r="G38" s="75"/>
      <c r="H38" s="75"/>
      <c r="I38" s="74"/>
      <c r="J38" s="74"/>
      <c r="K38" s="74"/>
      <c r="L38" s="74"/>
    </row>
    <row r="39" spans="1:12" ht="22.5" customHeight="1" x14ac:dyDescent="0.25">
      <c r="A39" s="96" t="s">
        <v>82</v>
      </c>
      <c r="B39" s="96"/>
      <c r="C39" s="96"/>
      <c r="D39" s="96"/>
      <c r="E39" s="96"/>
      <c r="F39" s="96"/>
      <c r="G39" s="96"/>
      <c r="H39" s="96"/>
      <c r="I39" s="96"/>
      <c r="J39" s="96"/>
      <c r="K39" s="96"/>
      <c r="L39" s="96"/>
    </row>
    <row r="40" spans="1:12" ht="19.5" customHeight="1" x14ac:dyDescent="0.25">
      <c r="A40" s="96"/>
      <c r="B40" s="96"/>
      <c r="C40" s="96"/>
      <c r="D40" s="96"/>
      <c r="E40" s="96"/>
      <c r="F40" s="96"/>
      <c r="G40" s="96"/>
      <c r="H40" s="96"/>
      <c r="I40" s="96"/>
      <c r="J40" s="96"/>
      <c r="K40" s="96"/>
      <c r="L40" s="96"/>
    </row>
    <row r="41" spans="1:12" ht="30" customHeight="1" x14ac:dyDescent="0.25">
      <c r="A41" s="100" t="s">
        <v>51</v>
      </c>
      <c r="B41" s="100"/>
      <c r="C41" s="100"/>
      <c r="D41" s="100"/>
      <c r="E41" s="101"/>
      <c r="F41" s="102"/>
      <c r="G41" s="102"/>
      <c r="H41" s="103"/>
      <c r="I41" s="56" t="s">
        <v>52</v>
      </c>
      <c r="J41" s="57"/>
      <c r="K41" s="104" t="str">
        <f>IF(E41="","",SUM(VLOOKUP(E41,B35:L38,8,FALSE),VLOOKUP(E41,B35:L38,10,FALSE)))</f>
        <v/>
      </c>
      <c r="L41" s="104"/>
    </row>
    <row r="42" spans="1:12" ht="30" customHeight="1" x14ac:dyDescent="0.25">
      <c r="A42" s="56" t="s">
        <v>202</v>
      </c>
      <c r="B42" s="57"/>
      <c r="C42" s="58"/>
      <c r="D42" s="59"/>
      <c r="E42" s="59"/>
      <c r="F42" s="59"/>
      <c r="G42" s="59"/>
      <c r="H42" s="59"/>
      <c r="I42" s="59"/>
      <c r="J42" s="59"/>
      <c r="K42" s="59"/>
      <c r="L42" s="60"/>
    </row>
    <row r="43" spans="1:12" ht="30" customHeight="1" x14ac:dyDescent="0.25">
      <c r="A43" s="56" t="s">
        <v>203</v>
      </c>
      <c r="B43" s="57"/>
      <c r="C43" s="58"/>
      <c r="D43" s="59"/>
      <c r="E43" s="59"/>
      <c r="F43" s="59"/>
      <c r="G43" s="59"/>
      <c r="H43" s="59"/>
      <c r="I43" s="59"/>
      <c r="J43" s="59"/>
      <c r="K43" s="59"/>
      <c r="L43" s="60"/>
    </row>
    <row r="44" spans="1:12" ht="30" customHeight="1" x14ac:dyDescent="0.25">
      <c r="A44" s="56" t="s">
        <v>204</v>
      </c>
      <c r="B44" s="57"/>
      <c r="C44" s="58"/>
      <c r="D44" s="59"/>
      <c r="E44" s="59"/>
      <c r="F44" s="59"/>
      <c r="G44" s="59"/>
      <c r="H44" s="59"/>
      <c r="I44" s="59"/>
      <c r="J44" s="59"/>
      <c r="K44" s="59"/>
      <c r="L44" s="60"/>
    </row>
    <row r="45" spans="1:12" ht="30" customHeight="1" x14ac:dyDescent="0.25">
      <c r="A45" s="56" t="s">
        <v>205</v>
      </c>
      <c r="B45" s="57"/>
      <c r="C45" s="58"/>
      <c r="D45" s="59"/>
      <c r="E45" s="59"/>
      <c r="F45" s="59"/>
      <c r="G45" s="59"/>
      <c r="H45" s="59"/>
      <c r="I45" s="59"/>
      <c r="J45" s="59"/>
      <c r="K45" s="59"/>
      <c r="L45" s="60"/>
    </row>
    <row r="46" spans="1:12" ht="30" customHeight="1" x14ac:dyDescent="0.25">
      <c r="A46" s="70" t="s">
        <v>20</v>
      </c>
      <c r="B46" s="70"/>
      <c r="C46" s="70"/>
      <c r="D46" s="70"/>
      <c r="E46" s="70"/>
      <c r="F46" s="70"/>
      <c r="G46" s="70"/>
      <c r="H46" s="70"/>
      <c r="I46" s="70"/>
      <c r="J46" s="70"/>
      <c r="K46" s="70"/>
      <c r="L46" s="70"/>
    </row>
    <row r="47" spans="1:12" ht="30" customHeight="1" x14ac:dyDescent="0.25">
      <c r="A47" s="83"/>
      <c r="B47" s="83"/>
      <c r="C47" s="83"/>
      <c r="D47" s="83"/>
      <c r="E47" s="83"/>
      <c r="F47" s="83"/>
      <c r="G47" s="83"/>
      <c r="H47" s="83"/>
      <c r="I47" s="83"/>
      <c r="J47" s="83"/>
      <c r="K47" s="83"/>
      <c r="L47" s="83"/>
    </row>
    <row r="48" spans="1:12" ht="30" customHeight="1" x14ac:dyDescent="0.25">
      <c r="A48" s="83"/>
      <c r="B48" s="83"/>
      <c r="C48" s="83"/>
      <c r="D48" s="83"/>
      <c r="E48" s="83"/>
      <c r="F48" s="83"/>
      <c r="G48" s="83"/>
      <c r="H48" s="83"/>
      <c r="I48" s="83"/>
      <c r="J48" s="83"/>
      <c r="K48" s="83"/>
      <c r="L48" s="83"/>
    </row>
    <row r="49" spans="1:12" ht="30" customHeight="1" x14ac:dyDescent="0.25">
      <c r="A49" s="83"/>
      <c r="B49" s="83"/>
      <c r="C49" s="83"/>
      <c r="D49" s="83"/>
      <c r="E49" s="83"/>
      <c r="F49" s="83"/>
      <c r="G49" s="83"/>
      <c r="H49" s="83"/>
      <c r="I49" s="83"/>
      <c r="J49" s="83"/>
      <c r="K49" s="83"/>
      <c r="L49" s="83"/>
    </row>
    <row r="50" spans="1:12" ht="26.25" customHeight="1" x14ac:dyDescent="0.25">
      <c r="C50" s="76"/>
      <c r="D50" s="76"/>
      <c r="E50" s="76"/>
      <c r="F50" s="76"/>
      <c r="G50" s="76"/>
      <c r="H50" s="76"/>
      <c r="I50" s="76"/>
      <c r="J50" s="76"/>
      <c r="K50" s="76"/>
      <c r="L50" s="76"/>
    </row>
    <row r="51" spans="1:12" ht="30" customHeight="1" x14ac:dyDescent="0.25">
      <c r="A51" s="70" t="s">
        <v>21</v>
      </c>
      <c r="B51" s="70"/>
      <c r="C51" s="70"/>
      <c r="D51" s="70"/>
      <c r="E51" s="70"/>
      <c r="F51" s="70"/>
      <c r="G51" s="70"/>
      <c r="H51" s="70"/>
      <c r="I51" s="70"/>
      <c r="J51" s="70"/>
      <c r="K51" s="70"/>
      <c r="L51" s="70"/>
    </row>
    <row r="52" spans="1:12" ht="30" customHeight="1" x14ac:dyDescent="0.25">
      <c r="A52" s="95" t="s">
        <v>22</v>
      </c>
      <c r="B52" s="95"/>
      <c r="C52" s="95"/>
      <c r="D52" s="95"/>
      <c r="E52" s="95"/>
      <c r="F52" s="95"/>
      <c r="G52" s="95"/>
      <c r="H52" s="95"/>
      <c r="I52" s="95"/>
      <c r="J52" s="95"/>
      <c r="K52" s="95"/>
      <c r="L52" s="95"/>
    </row>
    <row r="53" spans="1:12" ht="30" customHeight="1" x14ac:dyDescent="0.25">
      <c r="A53" s="95"/>
      <c r="B53" s="95"/>
      <c r="C53" s="95"/>
      <c r="D53" s="95"/>
      <c r="E53" s="95"/>
      <c r="F53" s="95"/>
      <c r="G53" s="95"/>
      <c r="H53" s="95"/>
      <c r="I53" s="95"/>
      <c r="J53" s="95"/>
      <c r="K53" s="95"/>
      <c r="L53" s="95"/>
    </row>
    <row r="54" spans="1:12" ht="30" customHeight="1" x14ac:dyDescent="0.25">
      <c r="A54" s="95"/>
      <c r="B54" s="95"/>
      <c r="C54" s="95"/>
      <c r="D54" s="95"/>
      <c r="E54" s="95"/>
      <c r="F54" s="95"/>
      <c r="G54" s="95"/>
      <c r="H54" s="95"/>
      <c r="I54" s="95"/>
      <c r="J54" s="95"/>
      <c r="K54" s="95"/>
      <c r="L54" s="95"/>
    </row>
    <row r="55" spans="1:12" ht="30" customHeight="1" x14ac:dyDescent="0.25">
      <c r="A55" s="95"/>
      <c r="B55" s="95"/>
      <c r="C55" s="95"/>
      <c r="D55" s="95"/>
      <c r="E55" s="95"/>
      <c r="F55" s="95"/>
      <c r="G55" s="95"/>
      <c r="H55" s="95"/>
      <c r="I55" s="95"/>
      <c r="J55" s="95"/>
      <c r="K55" s="95"/>
      <c r="L55" s="95"/>
    </row>
  </sheetData>
  <sheetProtection algorithmName="SHA-512" hashValue="jmsrypZUEiTJFALd50xf+rbg30Bdbqs3b33c9NuOQqBrMHDOrztDUaB3rSmVxZZiRxhks0GdkAWgHl0U8dILIA==" saltValue="bVkScwYaBqo/V+vVExtCa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 type="list" allowBlank="1" sqref="D16:J16">
      <formula1>"COMPRA DE LOS SIGUIENTES PRODUCTOS:,PAGO DE SERVICIO POR:"</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ignoredErrors>
    <ignoredError sqref="E27:J27 E17:J17 E18:J18 E19:J19 E20:J20 E21:J21 E22:J22 E23:J23 E24:J24 E25:J25 E26:J26" unlocked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 type="list" allowBlank="1">
          <x14:formula1>
            <xm:f>Parámetros_Generales!$C$2:$C$3</xm:f>
          </x14:formula1>
          <xm:sqref>A12:L12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15" sqref="A15:G15"/>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61"/>
      <c r="B1" s="61"/>
      <c r="C1" s="61"/>
      <c r="D1" s="61"/>
      <c r="E1" s="61"/>
      <c r="F1" s="61"/>
      <c r="G1" s="61"/>
      <c r="H1" s="61"/>
      <c r="I1" s="61"/>
      <c r="J1" s="61"/>
    </row>
    <row r="2" spans="1:10" ht="15" customHeight="1" x14ac:dyDescent="0.25">
      <c r="A2" s="77"/>
      <c r="B2" s="77"/>
      <c r="C2" s="77"/>
      <c r="D2" s="77"/>
      <c r="E2" s="77"/>
      <c r="F2" s="77"/>
      <c r="G2" s="77"/>
      <c r="H2" s="77"/>
      <c r="I2" s="77"/>
      <c r="J2" s="77"/>
    </row>
    <row r="3" spans="1:10" ht="18" customHeight="1" x14ac:dyDescent="0.25">
      <c r="A3" s="79"/>
      <c r="B3" s="117" t="s">
        <v>25</v>
      </c>
      <c r="C3" s="117"/>
      <c r="D3" s="117"/>
      <c r="E3" s="117"/>
      <c r="F3" s="117"/>
      <c r="G3" s="117"/>
      <c r="H3" s="78" t="s">
        <v>26</v>
      </c>
      <c r="I3" s="78"/>
      <c r="J3" s="78"/>
    </row>
    <row r="4" spans="1:10" ht="18" customHeight="1" x14ac:dyDescent="0.25">
      <c r="A4" s="79"/>
      <c r="B4" s="118"/>
      <c r="C4" s="118"/>
      <c r="D4" s="118"/>
      <c r="E4" s="118"/>
      <c r="F4" s="118"/>
      <c r="G4" s="118"/>
      <c r="H4" s="78"/>
      <c r="I4" s="78"/>
      <c r="J4" s="78"/>
    </row>
    <row r="5" spans="1:10" ht="18" customHeight="1" x14ac:dyDescent="0.25">
      <c r="A5" s="79"/>
      <c r="B5" s="119" t="s">
        <v>24</v>
      </c>
      <c r="C5" s="119"/>
      <c r="D5" s="119"/>
      <c r="E5" s="119"/>
      <c r="F5" s="119"/>
      <c r="G5" s="119"/>
      <c r="H5" s="14" t="s">
        <v>27</v>
      </c>
      <c r="I5" s="14" t="s">
        <v>28</v>
      </c>
      <c r="J5" s="14" t="s">
        <v>29</v>
      </c>
    </row>
    <row r="6" spans="1:10" ht="18" customHeight="1" x14ac:dyDescent="0.25">
      <c r="A6" s="79"/>
      <c r="B6" s="120"/>
      <c r="C6" s="120"/>
      <c r="D6" s="120"/>
      <c r="E6" s="120"/>
      <c r="F6" s="120"/>
      <c r="G6" s="120"/>
      <c r="H6" s="21"/>
      <c r="I6" s="21"/>
      <c r="J6" s="21"/>
    </row>
    <row r="7" spans="1:10" s="2" customFormat="1" ht="26.1" customHeight="1" x14ac:dyDescent="0.25">
      <c r="A7" s="114" t="s">
        <v>31</v>
      </c>
      <c r="B7" s="70"/>
      <c r="C7" s="70"/>
      <c r="D7" s="70"/>
      <c r="E7" s="115"/>
      <c r="F7" s="115"/>
      <c r="G7" s="115"/>
      <c r="H7" s="73" t="s">
        <v>30</v>
      </c>
      <c r="I7" s="73"/>
      <c r="J7" s="73"/>
    </row>
    <row r="8" spans="1:10" ht="26.1" customHeight="1" x14ac:dyDescent="0.25">
      <c r="A8" s="70"/>
      <c r="B8" s="70"/>
      <c r="C8" s="70"/>
      <c r="D8" s="70"/>
      <c r="E8" s="115"/>
      <c r="F8" s="115"/>
      <c r="G8" s="115"/>
      <c r="H8" s="116"/>
      <c r="I8" s="116"/>
      <c r="J8" s="116"/>
    </row>
    <row r="9" spans="1:10" ht="26.1" customHeight="1" x14ac:dyDescent="0.25">
      <c r="A9" s="73" t="s">
        <v>32</v>
      </c>
      <c r="B9" s="73"/>
      <c r="C9" s="73"/>
      <c r="D9" s="73"/>
      <c r="E9" s="73"/>
      <c r="F9" s="73"/>
      <c r="G9" s="73"/>
      <c r="H9" s="73"/>
      <c r="I9" s="73"/>
      <c r="J9" s="73"/>
    </row>
    <row r="10" spans="1:10" ht="30" customHeight="1" x14ac:dyDescent="0.25">
      <c r="A10" s="105"/>
      <c r="B10" s="106"/>
      <c r="C10" s="106"/>
      <c r="D10" s="106"/>
      <c r="E10" s="106"/>
      <c r="F10" s="106"/>
      <c r="G10" s="106"/>
      <c r="H10" s="106"/>
      <c r="I10" s="106"/>
      <c r="J10" s="107"/>
    </row>
    <row r="11" spans="1:10" ht="30" customHeight="1" x14ac:dyDescent="0.25">
      <c r="A11" s="108"/>
      <c r="B11" s="109"/>
      <c r="C11" s="109"/>
      <c r="D11" s="109"/>
      <c r="E11" s="109"/>
      <c r="F11" s="109"/>
      <c r="G11" s="109"/>
      <c r="H11" s="109"/>
      <c r="I11" s="109"/>
      <c r="J11" s="110"/>
    </row>
    <row r="12" spans="1:10" ht="30" customHeight="1" x14ac:dyDescent="0.25">
      <c r="A12" s="108"/>
      <c r="B12" s="109"/>
      <c r="C12" s="109"/>
      <c r="D12" s="109"/>
      <c r="E12" s="109"/>
      <c r="F12" s="109"/>
      <c r="G12" s="109"/>
      <c r="H12" s="109"/>
      <c r="I12" s="109"/>
      <c r="J12" s="110"/>
    </row>
    <row r="13" spans="1:10" ht="30" customHeight="1" x14ac:dyDescent="0.25">
      <c r="A13" s="111"/>
      <c r="B13" s="112"/>
      <c r="C13" s="112"/>
      <c r="D13" s="112"/>
      <c r="E13" s="112"/>
      <c r="F13" s="112"/>
      <c r="G13" s="112"/>
      <c r="H13" s="112"/>
      <c r="I13" s="112"/>
      <c r="J13" s="113"/>
    </row>
    <row r="14" spans="1:10" ht="26.1" customHeight="1" x14ac:dyDescent="0.25">
      <c r="A14" s="73" t="s">
        <v>33</v>
      </c>
      <c r="B14" s="73"/>
      <c r="C14" s="73"/>
      <c r="D14" s="73"/>
      <c r="E14" s="73"/>
      <c r="F14" s="73"/>
      <c r="G14" s="73"/>
      <c r="H14" s="73"/>
      <c r="I14" s="73"/>
      <c r="J14" s="73"/>
    </row>
    <row r="15" spans="1:10" ht="30" customHeight="1" x14ac:dyDescent="0.25">
      <c r="A15" s="130" t="s">
        <v>72</v>
      </c>
      <c r="B15" s="131"/>
      <c r="C15" s="131"/>
      <c r="D15" s="131"/>
      <c r="E15" s="131"/>
      <c r="F15" s="131"/>
      <c r="G15" s="132"/>
      <c r="H15" s="97" t="s">
        <v>73</v>
      </c>
      <c r="I15" s="98"/>
      <c r="J15" s="99"/>
    </row>
    <row r="16" spans="1:10" ht="30" customHeight="1" x14ac:dyDescent="0.25">
      <c r="A16" s="122"/>
      <c r="B16" s="123"/>
      <c r="C16" s="123"/>
      <c r="D16" s="123"/>
      <c r="E16" s="123"/>
      <c r="F16" s="123"/>
      <c r="G16" s="124"/>
      <c r="H16" s="125"/>
      <c r="I16" s="126"/>
      <c r="J16" s="127"/>
    </row>
    <row r="17" spans="1:10" ht="30" customHeight="1" x14ac:dyDescent="0.25">
      <c r="A17" s="122"/>
      <c r="B17" s="123"/>
      <c r="C17" s="123"/>
      <c r="D17" s="123"/>
      <c r="E17" s="123"/>
      <c r="F17" s="123"/>
      <c r="G17" s="124"/>
      <c r="H17" s="125"/>
      <c r="I17" s="126"/>
      <c r="J17" s="127"/>
    </row>
    <row r="18" spans="1:10" ht="30" customHeight="1" x14ac:dyDescent="0.25">
      <c r="A18" s="122"/>
      <c r="B18" s="123"/>
      <c r="C18" s="123"/>
      <c r="D18" s="123"/>
      <c r="E18" s="123"/>
      <c r="F18" s="123"/>
      <c r="G18" s="124"/>
      <c r="H18" s="125"/>
      <c r="I18" s="126"/>
      <c r="J18" s="127"/>
    </row>
    <row r="19" spans="1:10" ht="30" customHeight="1" x14ac:dyDescent="0.25">
      <c r="A19" s="122"/>
      <c r="B19" s="123"/>
      <c r="C19" s="123"/>
      <c r="D19" s="123"/>
      <c r="E19" s="123"/>
      <c r="F19" s="123"/>
      <c r="G19" s="124"/>
      <c r="H19" s="125"/>
      <c r="I19" s="126"/>
      <c r="J19" s="127"/>
    </row>
    <row r="20" spans="1:10" ht="30" customHeight="1" x14ac:dyDescent="0.25">
      <c r="A20" s="122"/>
      <c r="B20" s="123"/>
      <c r="C20" s="123"/>
      <c r="D20" s="123"/>
      <c r="E20" s="123"/>
      <c r="F20" s="123"/>
      <c r="G20" s="124"/>
      <c r="H20" s="125"/>
      <c r="I20" s="126"/>
      <c r="J20" s="127"/>
    </row>
    <row r="21" spans="1:10" ht="30" customHeight="1" x14ac:dyDescent="0.25">
      <c r="A21" s="122"/>
      <c r="B21" s="123"/>
      <c r="C21" s="123"/>
      <c r="D21" s="123"/>
      <c r="E21" s="123"/>
      <c r="F21" s="123"/>
      <c r="G21" s="124"/>
      <c r="H21" s="125"/>
      <c r="I21" s="126"/>
      <c r="J21" s="127"/>
    </row>
    <row r="22" spans="1:10" ht="30" customHeight="1" x14ac:dyDescent="0.25">
      <c r="A22" s="122"/>
      <c r="B22" s="123"/>
      <c r="C22" s="123"/>
      <c r="D22" s="123"/>
      <c r="E22" s="123"/>
      <c r="F22" s="123"/>
      <c r="G22" s="124"/>
      <c r="H22" s="125"/>
      <c r="I22" s="126"/>
      <c r="J22" s="127"/>
    </row>
    <row r="23" spans="1:10" ht="30" customHeight="1" x14ac:dyDescent="0.25">
      <c r="A23" s="122"/>
      <c r="B23" s="123"/>
      <c r="C23" s="123"/>
      <c r="D23" s="123"/>
      <c r="E23" s="123"/>
      <c r="F23" s="123"/>
      <c r="G23" s="124"/>
      <c r="H23" s="125"/>
      <c r="I23" s="126"/>
      <c r="J23" s="127"/>
    </row>
    <row r="24" spans="1:10" ht="30" customHeight="1" x14ac:dyDescent="0.25">
      <c r="A24" s="122"/>
      <c r="B24" s="123"/>
      <c r="C24" s="123"/>
      <c r="D24" s="123"/>
      <c r="E24" s="123"/>
      <c r="F24" s="123"/>
      <c r="G24" s="124"/>
      <c r="H24" s="125"/>
      <c r="I24" s="126"/>
      <c r="J24" s="127"/>
    </row>
    <row r="25" spans="1:10" ht="30" customHeight="1" x14ac:dyDescent="0.25">
      <c r="A25" s="122"/>
      <c r="B25" s="123"/>
      <c r="C25" s="123"/>
      <c r="D25" s="123"/>
      <c r="E25" s="123"/>
      <c r="F25" s="123"/>
      <c r="G25" s="124"/>
      <c r="H25" s="125"/>
      <c r="I25" s="126"/>
      <c r="J25" s="127"/>
    </row>
    <row r="26" spans="1:10" ht="30" customHeight="1" x14ac:dyDescent="0.25">
      <c r="A26" s="122"/>
      <c r="B26" s="123"/>
      <c r="C26" s="123"/>
      <c r="D26" s="123"/>
      <c r="E26" s="123"/>
      <c r="F26" s="123"/>
      <c r="G26" s="124"/>
      <c r="H26" s="125"/>
      <c r="I26" s="126"/>
      <c r="J26" s="127"/>
    </row>
    <row r="27" spans="1:10" ht="26.1" customHeight="1" x14ac:dyDescent="0.25">
      <c r="A27" s="73" t="s">
        <v>34</v>
      </c>
      <c r="B27" s="73"/>
      <c r="C27" s="73"/>
      <c r="D27" s="73"/>
      <c r="E27" s="73"/>
      <c r="F27" s="73"/>
      <c r="G27" s="73"/>
      <c r="H27" s="73"/>
      <c r="I27" s="73"/>
      <c r="J27" s="73"/>
    </row>
    <row r="28" spans="1:10" ht="24.95" customHeight="1" x14ac:dyDescent="0.25">
      <c r="A28" s="15" t="s">
        <v>35</v>
      </c>
      <c r="B28" s="128" t="s">
        <v>36</v>
      </c>
      <c r="C28" s="128"/>
      <c r="D28" s="128"/>
      <c r="E28" s="128"/>
      <c r="F28" s="128"/>
      <c r="G28" s="128"/>
      <c r="H28" s="128"/>
      <c r="I28" s="128"/>
      <c r="J28" s="129"/>
    </row>
    <row r="29" spans="1:10" ht="24.95" customHeight="1" x14ac:dyDescent="0.25">
      <c r="A29" s="137" t="s">
        <v>37</v>
      </c>
      <c r="B29" s="138"/>
      <c r="C29" s="138"/>
      <c r="D29" s="138"/>
      <c r="E29" s="138"/>
      <c r="F29" s="138"/>
      <c r="G29" s="138"/>
      <c r="H29" s="138"/>
      <c r="I29" s="138"/>
      <c r="J29" s="139"/>
    </row>
    <row r="30" spans="1:10" ht="24.95" customHeight="1" x14ac:dyDescent="0.25">
      <c r="A30" s="73" t="s">
        <v>84</v>
      </c>
      <c r="B30" s="73"/>
      <c r="C30" s="73"/>
      <c r="D30" s="73"/>
      <c r="E30" s="73"/>
      <c r="F30" s="73"/>
      <c r="G30" s="73"/>
      <c r="H30" s="73"/>
      <c r="I30" s="73"/>
      <c r="J30" s="73"/>
    </row>
    <row r="31" spans="1:10" ht="24.95" customHeight="1" x14ac:dyDescent="0.25">
      <c r="A31" s="121"/>
      <c r="B31" s="121"/>
      <c r="C31" s="121"/>
      <c r="D31" s="121"/>
      <c r="E31" s="121"/>
      <c r="F31" s="121"/>
      <c r="G31" s="121"/>
      <c r="H31" s="121"/>
      <c r="I31" s="121"/>
      <c r="J31" s="121"/>
    </row>
    <row r="32" spans="1:10" ht="24.95" customHeight="1" x14ac:dyDescent="0.25">
      <c r="A32" s="73" t="s">
        <v>38</v>
      </c>
      <c r="B32" s="73"/>
      <c r="C32" s="73"/>
      <c r="D32" s="73"/>
      <c r="E32" s="73"/>
      <c r="F32" s="73"/>
      <c r="G32" s="73"/>
      <c r="H32" s="73"/>
      <c r="I32" s="73"/>
      <c r="J32" s="73"/>
    </row>
    <row r="33" spans="1:10" ht="24.95" customHeight="1" x14ac:dyDescent="0.25">
      <c r="A33" s="20" t="s">
        <v>13</v>
      </c>
      <c r="B33" s="19"/>
      <c r="C33" s="20" t="s">
        <v>14</v>
      </c>
      <c r="D33" s="3"/>
      <c r="E33" s="135"/>
      <c r="F33" s="135"/>
      <c r="G33" s="135"/>
      <c r="H33" s="135"/>
      <c r="I33" s="135"/>
      <c r="J33" s="135"/>
    </row>
    <row r="34" spans="1:10" ht="24.95" customHeight="1" x14ac:dyDescent="0.25">
      <c r="A34" s="73" t="s">
        <v>39</v>
      </c>
      <c r="B34" s="73"/>
      <c r="C34" s="73"/>
      <c r="D34" s="73"/>
      <c r="E34" s="73"/>
      <c r="F34" s="73"/>
      <c r="G34" s="73"/>
      <c r="H34" s="73"/>
      <c r="I34" s="73"/>
      <c r="J34" s="73"/>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36"/>
      <c r="D38" s="136"/>
      <c r="E38" s="136"/>
      <c r="F38" s="16" t="s">
        <v>40</v>
      </c>
      <c r="G38" s="133" t="s">
        <v>36</v>
      </c>
      <c r="H38" s="133"/>
      <c r="I38" s="133"/>
      <c r="J38" s="134"/>
    </row>
    <row r="39" spans="1:10" ht="24.95" customHeight="1" x14ac:dyDescent="0.25">
      <c r="A39" s="10"/>
      <c r="B39" s="16" t="s">
        <v>41</v>
      </c>
      <c r="C39" s="136"/>
      <c r="D39" s="136"/>
      <c r="E39" s="136"/>
      <c r="F39" s="16" t="s">
        <v>41</v>
      </c>
      <c r="G39" s="133" t="s">
        <v>42</v>
      </c>
      <c r="H39" s="133"/>
      <c r="I39" s="133"/>
      <c r="J39" s="134"/>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33" t="s">
        <v>43</v>
      </c>
      <c r="C43" s="133"/>
      <c r="D43" s="133"/>
      <c r="E43" s="133"/>
      <c r="F43" s="133" t="s">
        <v>44</v>
      </c>
      <c r="G43" s="133"/>
      <c r="H43" s="133"/>
      <c r="I43" s="133"/>
      <c r="J43" s="134"/>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o89naqzfv/YoH71ubbFUL6DxE3nJdOHi11sNms2M4ZGUVZ7L4YTSD+qzDexFCnFvO5afoSAXulYQFjOOQzOL7Q==" saltValue="wwzr/aNhAK/T59p/G7+n/Q=="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A11" sqref="A11:G11"/>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9"/>
      <c r="B3" s="117" t="s">
        <v>45</v>
      </c>
      <c r="C3" s="117"/>
      <c r="D3" s="117"/>
      <c r="E3" s="117"/>
      <c r="F3" s="117"/>
      <c r="G3" s="150"/>
      <c r="H3" s="78" t="s">
        <v>26</v>
      </c>
      <c r="I3" s="78"/>
      <c r="J3" s="78"/>
    </row>
    <row r="4" spans="1:10" ht="18" customHeight="1" x14ac:dyDescent="0.3">
      <c r="A4" s="79"/>
      <c r="B4" s="118" t="s">
        <v>46</v>
      </c>
      <c r="C4" s="118"/>
      <c r="D4" s="118"/>
      <c r="E4" s="118"/>
      <c r="F4" s="118"/>
      <c r="G4" s="151"/>
      <c r="H4" s="78"/>
      <c r="I4" s="78"/>
      <c r="J4" s="78"/>
    </row>
    <row r="5" spans="1:10" ht="18" customHeight="1" x14ac:dyDescent="0.3">
      <c r="A5" s="79"/>
      <c r="B5" s="152" t="s">
        <v>47</v>
      </c>
      <c r="C5" s="152"/>
      <c r="D5" s="152"/>
      <c r="E5" s="152"/>
      <c r="F5" s="152"/>
      <c r="G5" s="153"/>
      <c r="H5" s="14" t="s">
        <v>27</v>
      </c>
      <c r="I5" s="14" t="s">
        <v>28</v>
      </c>
      <c r="J5" s="14" t="s">
        <v>29</v>
      </c>
    </row>
    <row r="6" spans="1:10" ht="18" customHeight="1" x14ac:dyDescent="0.25">
      <c r="A6" s="79"/>
      <c r="B6" s="120" t="s">
        <v>48</v>
      </c>
      <c r="C6" s="120"/>
      <c r="D6" s="120"/>
      <c r="E6" s="120"/>
      <c r="F6" s="120"/>
      <c r="G6" s="154"/>
      <c r="H6" s="28"/>
      <c r="I6" s="28"/>
      <c r="J6" s="28"/>
    </row>
    <row r="7" spans="1:10" ht="26.1" customHeight="1" x14ac:dyDescent="0.25">
      <c r="A7" s="148" t="s">
        <v>49</v>
      </c>
      <c r="B7" s="148"/>
      <c r="C7" s="148"/>
      <c r="D7" s="148"/>
      <c r="E7" s="148"/>
      <c r="F7" s="148"/>
      <c r="G7" s="148"/>
      <c r="H7" s="148"/>
      <c r="I7" s="148"/>
      <c r="J7" s="148"/>
    </row>
    <row r="8" spans="1:10" ht="26.1" customHeight="1" x14ac:dyDescent="0.25">
      <c r="A8" s="148"/>
      <c r="B8" s="148"/>
      <c r="C8" s="148"/>
      <c r="D8" s="148"/>
      <c r="E8" s="148"/>
      <c r="F8" s="148"/>
      <c r="G8" s="148"/>
      <c r="H8" s="148"/>
      <c r="I8" s="148"/>
      <c r="J8" s="148"/>
    </row>
    <row r="9" spans="1:10" ht="26.1" customHeight="1" x14ac:dyDescent="0.25">
      <c r="A9" s="148"/>
      <c r="B9" s="148"/>
      <c r="C9" s="148"/>
      <c r="D9" s="148"/>
      <c r="E9" s="148"/>
      <c r="F9" s="148"/>
      <c r="G9" s="148"/>
      <c r="H9" s="148"/>
      <c r="I9" s="148"/>
      <c r="J9" s="148"/>
    </row>
    <row r="10" spans="1:10" ht="26.1" customHeight="1" x14ac:dyDescent="0.25">
      <c r="A10" s="73" t="s">
        <v>12</v>
      </c>
      <c r="B10" s="73"/>
      <c r="C10" s="73"/>
      <c r="D10" s="73"/>
      <c r="E10" s="73"/>
      <c r="F10" s="73"/>
      <c r="G10" s="73"/>
      <c r="H10" s="73"/>
      <c r="I10" s="73"/>
      <c r="J10" s="73"/>
    </row>
    <row r="11" spans="1:10" ht="30" customHeight="1" x14ac:dyDescent="0.25">
      <c r="A11" s="130" t="s">
        <v>72</v>
      </c>
      <c r="B11" s="131"/>
      <c r="C11" s="131"/>
      <c r="D11" s="131"/>
      <c r="E11" s="131"/>
      <c r="F11" s="131"/>
      <c r="G11" s="132"/>
      <c r="H11" s="97" t="s">
        <v>73</v>
      </c>
      <c r="I11" s="98"/>
      <c r="J11" s="99"/>
    </row>
    <row r="12" spans="1:10" ht="30" customHeight="1" x14ac:dyDescent="0.25">
      <c r="A12" s="122"/>
      <c r="B12" s="123"/>
      <c r="C12" s="123"/>
      <c r="D12" s="123"/>
      <c r="E12" s="123"/>
      <c r="F12" s="123"/>
      <c r="G12" s="124"/>
      <c r="H12" s="125"/>
      <c r="I12" s="126"/>
      <c r="J12" s="127"/>
    </row>
    <row r="13" spans="1:10" ht="30" customHeight="1" x14ac:dyDescent="0.25">
      <c r="A13" s="122"/>
      <c r="B13" s="123"/>
      <c r="C13" s="123"/>
      <c r="D13" s="123"/>
      <c r="E13" s="123"/>
      <c r="F13" s="123"/>
      <c r="G13" s="124"/>
      <c r="H13" s="125"/>
      <c r="I13" s="126"/>
      <c r="J13" s="127"/>
    </row>
    <row r="14" spans="1:10" ht="30" customHeight="1" x14ac:dyDescent="0.25">
      <c r="A14" s="122"/>
      <c r="B14" s="123"/>
      <c r="C14" s="123"/>
      <c r="D14" s="123"/>
      <c r="E14" s="123"/>
      <c r="F14" s="123"/>
      <c r="G14" s="124"/>
      <c r="H14" s="125"/>
      <c r="I14" s="126"/>
      <c r="J14" s="127"/>
    </row>
    <row r="15" spans="1:10" ht="30" customHeight="1" x14ac:dyDescent="0.25">
      <c r="A15" s="122"/>
      <c r="B15" s="123"/>
      <c r="C15" s="123"/>
      <c r="D15" s="123"/>
      <c r="E15" s="123"/>
      <c r="F15" s="123"/>
      <c r="G15" s="124"/>
      <c r="H15" s="125"/>
      <c r="I15" s="126"/>
      <c r="J15" s="127"/>
    </row>
    <row r="16" spans="1:10" ht="30" customHeight="1" x14ac:dyDescent="0.25">
      <c r="A16" s="122"/>
      <c r="B16" s="123"/>
      <c r="C16" s="123"/>
      <c r="D16" s="123"/>
      <c r="E16" s="123"/>
      <c r="F16" s="123"/>
      <c r="G16" s="124"/>
      <c r="H16" s="125"/>
      <c r="I16" s="126"/>
      <c r="J16" s="127"/>
    </row>
    <row r="17" spans="1:10" ht="30" customHeight="1" x14ac:dyDescent="0.25">
      <c r="A17" s="122"/>
      <c r="B17" s="123"/>
      <c r="C17" s="123"/>
      <c r="D17" s="123"/>
      <c r="E17" s="123"/>
      <c r="F17" s="123"/>
      <c r="G17" s="124"/>
      <c r="H17" s="125"/>
      <c r="I17" s="126"/>
      <c r="J17" s="127"/>
    </row>
    <row r="18" spans="1:10" ht="30" customHeight="1" x14ac:dyDescent="0.25">
      <c r="A18" s="122"/>
      <c r="B18" s="123"/>
      <c r="C18" s="123"/>
      <c r="D18" s="123"/>
      <c r="E18" s="123"/>
      <c r="F18" s="123"/>
      <c r="G18" s="124"/>
      <c r="H18" s="125"/>
      <c r="I18" s="126"/>
      <c r="J18" s="127"/>
    </row>
    <row r="19" spans="1:10" ht="30" customHeight="1" x14ac:dyDescent="0.25">
      <c r="A19" s="122"/>
      <c r="B19" s="123"/>
      <c r="C19" s="123"/>
      <c r="D19" s="123"/>
      <c r="E19" s="123"/>
      <c r="F19" s="123"/>
      <c r="G19" s="124"/>
      <c r="H19" s="125"/>
      <c r="I19" s="126"/>
      <c r="J19" s="127"/>
    </row>
    <row r="20" spans="1:10" ht="30" customHeight="1" x14ac:dyDescent="0.25">
      <c r="A20" s="122"/>
      <c r="B20" s="123"/>
      <c r="C20" s="123"/>
      <c r="D20" s="123"/>
      <c r="E20" s="123"/>
      <c r="F20" s="123"/>
      <c r="G20" s="124"/>
      <c r="H20" s="125"/>
      <c r="I20" s="126"/>
      <c r="J20" s="127"/>
    </row>
    <row r="21" spans="1:10" ht="30" customHeight="1" x14ac:dyDescent="0.25">
      <c r="A21" s="122"/>
      <c r="B21" s="123"/>
      <c r="C21" s="123"/>
      <c r="D21" s="123"/>
      <c r="E21" s="123"/>
      <c r="F21" s="123"/>
      <c r="G21" s="124"/>
      <c r="H21" s="125"/>
      <c r="I21" s="126"/>
      <c r="J21" s="127"/>
    </row>
    <row r="22" spans="1:10" ht="30" customHeight="1" x14ac:dyDescent="0.25">
      <c r="A22" s="122"/>
      <c r="B22" s="123"/>
      <c r="C22" s="123"/>
      <c r="D22" s="123"/>
      <c r="E22" s="123"/>
      <c r="F22" s="123"/>
      <c r="G22" s="124"/>
      <c r="H22" s="125"/>
      <c r="I22" s="126"/>
      <c r="J22" s="127"/>
    </row>
    <row r="23" spans="1:10" ht="26.1" customHeight="1" x14ac:dyDescent="0.25">
      <c r="A23" s="73" t="s">
        <v>50</v>
      </c>
      <c r="B23" s="73"/>
      <c r="C23" s="73"/>
      <c r="D23" s="73"/>
      <c r="E23" s="73"/>
      <c r="F23" s="73"/>
      <c r="G23" s="73"/>
      <c r="H23" s="73"/>
      <c r="I23" s="73"/>
      <c r="J23" s="73"/>
    </row>
    <row r="24" spans="1:10" ht="30" customHeight="1" x14ac:dyDescent="0.25">
      <c r="A24" s="26" t="s">
        <v>18</v>
      </c>
      <c r="B24" s="149" t="s">
        <v>16</v>
      </c>
      <c r="C24" s="149"/>
      <c r="D24" s="149"/>
      <c r="E24" s="78" t="s">
        <v>6</v>
      </c>
      <c r="F24" s="78"/>
      <c r="G24" s="78" t="s">
        <v>17</v>
      </c>
      <c r="H24" s="78"/>
      <c r="I24" s="71" t="s">
        <v>88</v>
      </c>
      <c r="J24" s="71"/>
    </row>
    <row r="25" spans="1:10" ht="26.1" customHeight="1" x14ac:dyDescent="0.25">
      <c r="A25" s="31">
        <v>1</v>
      </c>
      <c r="B25" s="143"/>
      <c r="C25" s="144"/>
      <c r="D25" s="145"/>
      <c r="E25" s="127"/>
      <c r="F25" s="75"/>
      <c r="G25" s="75"/>
      <c r="H25" s="75"/>
      <c r="I25" s="74"/>
      <c r="J25" s="74"/>
    </row>
    <row r="26" spans="1:10" ht="26.1" customHeight="1" x14ac:dyDescent="0.25">
      <c r="A26" s="24">
        <v>2</v>
      </c>
      <c r="B26" s="143"/>
      <c r="C26" s="144"/>
      <c r="D26" s="145"/>
      <c r="E26" s="75"/>
      <c r="F26" s="75"/>
      <c r="G26" s="75"/>
      <c r="H26" s="75"/>
      <c r="I26" s="74"/>
      <c r="J26" s="74"/>
    </row>
    <row r="27" spans="1:10" ht="26.1" customHeight="1" x14ac:dyDescent="0.25">
      <c r="A27" s="24">
        <v>3</v>
      </c>
      <c r="B27" s="143"/>
      <c r="C27" s="144"/>
      <c r="D27" s="145"/>
      <c r="E27" s="75"/>
      <c r="F27" s="75"/>
      <c r="G27" s="75"/>
      <c r="H27" s="75"/>
      <c r="I27" s="74"/>
      <c r="J27" s="74"/>
    </row>
    <row r="28" spans="1:10" ht="26.1" customHeight="1" x14ac:dyDescent="0.25">
      <c r="A28" s="24">
        <v>4</v>
      </c>
      <c r="B28" s="143"/>
      <c r="C28" s="144"/>
      <c r="D28" s="145"/>
      <c r="E28" s="75"/>
      <c r="F28" s="75"/>
      <c r="G28" s="75"/>
      <c r="H28" s="75"/>
      <c r="I28" s="74"/>
      <c r="J28" s="74"/>
    </row>
    <row r="29" spans="1:10" s="17" customFormat="1" ht="26.1" customHeight="1" x14ac:dyDescent="0.25">
      <c r="A29" s="100" t="s">
        <v>51</v>
      </c>
      <c r="B29" s="100"/>
      <c r="C29" s="100"/>
      <c r="D29" s="100"/>
      <c r="E29" s="146"/>
      <c r="F29" s="147"/>
      <c r="G29" s="56" t="s">
        <v>52</v>
      </c>
      <c r="H29" s="57"/>
      <c r="I29" s="104" t="str">
        <f>IF(E29="","",VLOOKUP(E29,B25:I28,8,FALSE))</f>
        <v/>
      </c>
      <c r="J29" s="104"/>
    </row>
    <row r="30" spans="1:10" s="17" customFormat="1" ht="26.1" customHeight="1" x14ac:dyDescent="0.25">
      <c r="A30" s="56" t="s">
        <v>202</v>
      </c>
      <c r="B30" s="57"/>
      <c r="C30" s="140"/>
      <c r="D30" s="141"/>
      <c r="E30" s="141"/>
      <c r="F30" s="141"/>
      <c r="G30" s="141"/>
      <c r="H30" s="141"/>
      <c r="I30" s="141"/>
      <c r="J30" s="142"/>
    </row>
    <row r="31" spans="1:10" s="17" customFormat="1" ht="26.1" customHeight="1" x14ac:dyDescent="0.25">
      <c r="A31" s="56" t="s">
        <v>203</v>
      </c>
      <c r="B31" s="57"/>
      <c r="C31" s="140"/>
      <c r="D31" s="141"/>
      <c r="E31" s="141"/>
      <c r="F31" s="141"/>
      <c r="G31" s="141"/>
      <c r="H31" s="141"/>
      <c r="I31" s="141"/>
      <c r="J31" s="142"/>
    </row>
    <row r="32" spans="1:10" s="17" customFormat="1" ht="26.1" customHeight="1" x14ac:dyDescent="0.25">
      <c r="A32" s="56" t="s">
        <v>204</v>
      </c>
      <c r="B32" s="57"/>
      <c r="C32" s="140"/>
      <c r="D32" s="141"/>
      <c r="E32" s="141"/>
      <c r="F32" s="141"/>
      <c r="G32" s="141"/>
      <c r="H32" s="141"/>
      <c r="I32" s="141"/>
      <c r="J32" s="142"/>
    </row>
    <row r="33" spans="1:10" s="17" customFormat="1" ht="26.1" customHeight="1" x14ac:dyDescent="0.25">
      <c r="A33" s="56" t="s">
        <v>205</v>
      </c>
      <c r="B33" s="57"/>
      <c r="C33" s="140"/>
      <c r="D33" s="141"/>
      <c r="E33" s="141"/>
      <c r="F33" s="141"/>
      <c r="G33" s="141"/>
      <c r="H33" s="141"/>
      <c r="I33" s="141"/>
      <c r="J33" s="142"/>
    </row>
    <row r="34" spans="1:10" ht="26.1" customHeight="1" x14ac:dyDescent="0.25">
      <c r="A34" s="73" t="s">
        <v>20</v>
      </c>
      <c r="B34" s="73"/>
      <c r="C34" s="73"/>
      <c r="D34" s="73"/>
      <c r="E34" s="73"/>
      <c r="F34" s="73"/>
      <c r="G34" s="73"/>
      <c r="H34" s="73"/>
      <c r="I34" s="73"/>
      <c r="J34" s="73"/>
    </row>
    <row r="35" spans="1:10" ht="26.1" customHeight="1" x14ac:dyDescent="0.25">
      <c r="A35" s="164"/>
      <c r="B35" s="165"/>
      <c r="C35" s="165"/>
      <c r="D35" s="165"/>
      <c r="E35" s="165"/>
      <c r="F35" s="165"/>
      <c r="G35" s="165"/>
      <c r="H35" s="165"/>
      <c r="I35" s="165"/>
      <c r="J35" s="166"/>
    </row>
    <row r="36" spans="1:10" ht="26.1" customHeight="1" x14ac:dyDescent="0.25">
      <c r="A36" s="167"/>
      <c r="B36" s="168"/>
      <c r="C36" s="168"/>
      <c r="D36" s="168"/>
      <c r="E36" s="168"/>
      <c r="F36" s="168"/>
      <c r="G36" s="168"/>
      <c r="H36" s="168"/>
      <c r="I36" s="168"/>
      <c r="J36" s="169"/>
    </row>
    <row r="37" spans="1:10" ht="26.1" customHeight="1" x14ac:dyDescent="0.25">
      <c r="A37" s="170"/>
      <c r="B37" s="171"/>
      <c r="C37" s="171"/>
      <c r="D37" s="171"/>
      <c r="E37" s="171"/>
      <c r="F37" s="171"/>
      <c r="G37" s="171"/>
      <c r="H37" s="171"/>
      <c r="I37" s="171"/>
      <c r="J37" s="172"/>
    </row>
    <row r="38" spans="1:10" s="2" customFormat="1" ht="26.1" customHeight="1" x14ac:dyDescent="0.25">
      <c r="A38" s="100" t="s">
        <v>53</v>
      </c>
      <c r="B38" s="100"/>
      <c r="C38" s="115"/>
      <c r="D38" s="115"/>
      <c r="E38" s="173" t="s">
        <v>54</v>
      </c>
      <c r="F38" s="173"/>
      <c r="G38" s="161"/>
      <c r="H38" s="162"/>
      <c r="I38" s="162"/>
      <c r="J38" s="163"/>
    </row>
    <row r="39" spans="1:10" s="2" customFormat="1" ht="26.1" customHeight="1" x14ac:dyDescent="0.25">
      <c r="A39" s="100" t="s">
        <v>55</v>
      </c>
      <c r="B39" s="100"/>
      <c r="C39" s="116"/>
      <c r="D39" s="116"/>
      <c r="E39" s="100" t="s">
        <v>56</v>
      </c>
      <c r="F39" s="100"/>
      <c r="G39" s="116"/>
      <c r="H39" s="116"/>
      <c r="I39" s="116"/>
      <c r="J39" s="116"/>
    </row>
    <row r="40" spans="1:10" s="2" customFormat="1" ht="26.1" customHeight="1" x14ac:dyDescent="0.25">
      <c r="A40" s="155"/>
      <c r="B40" s="156"/>
      <c r="C40" s="156"/>
      <c r="D40" s="156"/>
      <c r="E40" s="156"/>
      <c r="F40" s="156"/>
      <c r="G40" s="156"/>
      <c r="H40" s="156"/>
      <c r="I40" s="156"/>
      <c r="J40" s="157"/>
    </row>
    <row r="41" spans="1:10" s="2" customFormat="1" ht="26.1" customHeight="1" x14ac:dyDescent="0.25">
      <c r="A41" s="158"/>
      <c r="B41" s="159"/>
      <c r="C41" s="159"/>
      <c r="D41" s="159"/>
      <c r="E41" s="159"/>
      <c r="F41" s="159"/>
      <c r="G41" s="159"/>
      <c r="H41" s="159"/>
      <c r="I41" s="159"/>
      <c r="J41" s="160"/>
    </row>
  </sheetData>
  <sheetProtection algorithmName="SHA-512" hashValue="X9bx7omKWGkRlZ1/nLbWyOhK/CFdp9am9AaFadLsBzoq1s5WtX/5F/ducCtviRBPBJbcmDOeBZkcDOBtI325yw==" saltValue="jd9WM5Gv+hhkUB3gQ4tqb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133" workbookViewId="0">
      <selection activeCell="C168" sqref="C168"/>
    </sheetView>
  </sheetViews>
  <sheetFormatPr baseColWidth="10" defaultColWidth="11.42578125" defaultRowHeight="12.75" x14ac:dyDescent="0.25"/>
  <cols>
    <col min="1" max="1" width="5" style="43" bestFit="1" customWidth="1"/>
    <col min="2" max="2" width="44.7109375" style="43" bestFit="1" customWidth="1"/>
    <col min="3" max="3" width="103.42578125" style="43" customWidth="1"/>
    <col min="4" max="4" width="20.28515625" style="44" customWidth="1"/>
    <col min="5" max="5" width="17.140625" style="44" customWidth="1"/>
    <col min="6" max="16384" width="11.42578125" style="43"/>
  </cols>
  <sheetData>
    <row r="1" spans="1:5" x14ac:dyDescent="0.25">
      <c r="A1" s="18" t="s">
        <v>18</v>
      </c>
      <c r="B1" s="18" t="s">
        <v>212</v>
      </c>
      <c r="C1" s="42" t="s">
        <v>213</v>
      </c>
      <c r="D1" s="18" t="s">
        <v>70</v>
      </c>
      <c r="E1" s="18" t="s">
        <v>11</v>
      </c>
    </row>
    <row r="2" spans="1:5" x14ac:dyDescent="0.25">
      <c r="A2" s="44">
        <v>1</v>
      </c>
      <c r="B2" s="45" t="s">
        <v>554</v>
      </c>
      <c r="C2" s="46" t="s">
        <v>691</v>
      </c>
      <c r="D2" s="47" t="s">
        <v>692</v>
      </c>
      <c r="E2" s="44">
        <v>20230009</v>
      </c>
    </row>
    <row r="3" spans="1:5" x14ac:dyDescent="0.25">
      <c r="A3" s="44">
        <v>2</v>
      </c>
      <c r="B3" s="45" t="s">
        <v>554</v>
      </c>
      <c r="C3" s="46" t="s">
        <v>693</v>
      </c>
      <c r="D3" s="47" t="s">
        <v>694</v>
      </c>
      <c r="E3" s="44">
        <v>20230009</v>
      </c>
    </row>
    <row r="4" spans="1:5" ht="25.5" x14ac:dyDescent="0.25">
      <c r="A4" s="44">
        <v>3</v>
      </c>
      <c r="B4" s="45" t="s">
        <v>554</v>
      </c>
      <c r="C4" s="46" t="s">
        <v>698</v>
      </c>
      <c r="D4" s="47" t="s">
        <v>699</v>
      </c>
      <c r="E4" s="44">
        <v>20230009</v>
      </c>
    </row>
    <row r="5" spans="1:5" x14ac:dyDescent="0.25">
      <c r="A5" s="44">
        <v>4</v>
      </c>
      <c r="B5" s="45" t="s">
        <v>557</v>
      </c>
      <c r="C5" s="43" t="s">
        <v>451</v>
      </c>
      <c r="D5" s="47" t="s">
        <v>452</v>
      </c>
      <c r="E5" s="44">
        <v>10410023</v>
      </c>
    </row>
    <row r="6" spans="1:5" x14ac:dyDescent="0.25">
      <c r="A6" s="44">
        <v>5</v>
      </c>
      <c r="B6" s="45" t="s">
        <v>557</v>
      </c>
      <c r="C6" s="46" t="s">
        <v>599</v>
      </c>
      <c r="D6" s="47" t="s">
        <v>419</v>
      </c>
      <c r="E6" s="44">
        <v>10410023</v>
      </c>
    </row>
    <row r="7" spans="1:5" ht="25.5" x14ac:dyDescent="0.25">
      <c r="A7" s="44">
        <v>6</v>
      </c>
      <c r="B7" s="45" t="s">
        <v>559</v>
      </c>
      <c r="C7" s="46" t="s">
        <v>135</v>
      </c>
      <c r="D7" s="48" t="s">
        <v>89</v>
      </c>
      <c r="E7" s="44">
        <v>20230009</v>
      </c>
    </row>
    <row r="8" spans="1:5" x14ac:dyDescent="0.25">
      <c r="A8" s="44">
        <v>7</v>
      </c>
      <c r="B8" s="45" t="s">
        <v>559</v>
      </c>
      <c r="C8" s="46" t="s">
        <v>709</v>
      </c>
      <c r="D8" s="48" t="s">
        <v>710</v>
      </c>
      <c r="E8" s="44">
        <v>20230009</v>
      </c>
    </row>
    <row r="9" spans="1:5" x14ac:dyDescent="0.25">
      <c r="A9" s="44">
        <v>8</v>
      </c>
      <c r="B9" s="45" t="s">
        <v>559</v>
      </c>
      <c r="C9" s="46" t="s">
        <v>599</v>
      </c>
      <c r="D9" s="48" t="s">
        <v>420</v>
      </c>
      <c r="E9" s="44">
        <v>10410023</v>
      </c>
    </row>
    <row r="10" spans="1:5" ht="25.5" x14ac:dyDescent="0.25">
      <c r="A10" s="44">
        <v>9</v>
      </c>
      <c r="B10" s="45" t="s">
        <v>559</v>
      </c>
      <c r="C10" s="46" t="s">
        <v>421</v>
      </c>
      <c r="D10" s="48" t="s">
        <v>422</v>
      </c>
      <c r="E10" s="44">
        <v>10410023</v>
      </c>
    </row>
    <row r="11" spans="1:5" x14ac:dyDescent="0.25">
      <c r="A11" s="44">
        <v>10</v>
      </c>
      <c r="B11" s="45" t="s">
        <v>559</v>
      </c>
      <c r="C11" s="46" t="s">
        <v>670</v>
      </c>
      <c r="D11" s="48" t="s">
        <v>671</v>
      </c>
      <c r="E11" s="44">
        <v>20230009</v>
      </c>
    </row>
    <row r="12" spans="1:5" ht="25.5" x14ac:dyDescent="0.25">
      <c r="A12" s="44">
        <v>11</v>
      </c>
      <c r="B12" s="45" t="s">
        <v>560</v>
      </c>
      <c r="C12" s="46" t="s">
        <v>453</v>
      </c>
      <c r="D12" s="48" t="s">
        <v>454</v>
      </c>
      <c r="E12" s="44">
        <v>20230009</v>
      </c>
    </row>
    <row r="13" spans="1:5" ht="25.5" x14ac:dyDescent="0.25">
      <c r="A13" s="44">
        <v>12</v>
      </c>
      <c r="B13" s="45" t="s">
        <v>206</v>
      </c>
      <c r="C13" s="46" t="s">
        <v>600</v>
      </c>
      <c r="D13" s="48" t="s">
        <v>90</v>
      </c>
      <c r="E13" s="44">
        <v>20230009</v>
      </c>
    </row>
    <row r="14" spans="1:5" ht="25.5" x14ac:dyDescent="0.25">
      <c r="A14" s="44">
        <v>13</v>
      </c>
      <c r="B14" s="45" t="s">
        <v>206</v>
      </c>
      <c r="C14" s="46" t="s">
        <v>601</v>
      </c>
      <c r="D14" s="48" t="s">
        <v>91</v>
      </c>
      <c r="E14" s="44">
        <v>20230009</v>
      </c>
    </row>
    <row r="15" spans="1:5" ht="25.5" x14ac:dyDescent="0.25">
      <c r="A15" s="44">
        <v>14</v>
      </c>
      <c r="B15" s="45" t="s">
        <v>206</v>
      </c>
      <c r="C15" s="46" t="s">
        <v>602</v>
      </c>
      <c r="D15" s="48" t="s">
        <v>92</v>
      </c>
      <c r="E15" s="44">
        <v>20230009</v>
      </c>
    </row>
    <row r="16" spans="1:5" ht="25.5" x14ac:dyDescent="0.25">
      <c r="A16" s="44">
        <v>15</v>
      </c>
      <c r="B16" s="45" t="s">
        <v>206</v>
      </c>
      <c r="C16" s="46" t="s">
        <v>409</v>
      </c>
      <c r="D16" s="48" t="s">
        <v>410</v>
      </c>
      <c r="E16" s="44">
        <v>20230009</v>
      </c>
    </row>
    <row r="17" spans="1:5" x14ac:dyDescent="0.25">
      <c r="A17" s="44">
        <v>16</v>
      </c>
      <c r="B17" s="45" t="s">
        <v>206</v>
      </c>
      <c r="C17" s="46" t="s">
        <v>440</v>
      </c>
      <c r="D17" s="48" t="s">
        <v>441</v>
      </c>
      <c r="E17" s="44">
        <v>20230009</v>
      </c>
    </row>
    <row r="18" spans="1:5" x14ac:dyDescent="0.25">
      <c r="A18" s="44">
        <v>17</v>
      </c>
      <c r="B18" s="45" t="s">
        <v>206</v>
      </c>
      <c r="C18" s="46" t="s">
        <v>603</v>
      </c>
      <c r="D18" s="48" t="s">
        <v>442</v>
      </c>
      <c r="E18" s="44">
        <v>10410023</v>
      </c>
    </row>
    <row r="19" spans="1:5" ht="25.5" x14ac:dyDescent="0.25">
      <c r="A19" s="44">
        <v>18</v>
      </c>
      <c r="B19" s="45" t="s">
        <v>206</v>
      </c>
      <c r="C19" s="46" t="s">
        <v>604</v>
      </c>
      <c r="D19" s="48" t="s">
        <v>455</v>
      </c>
      <c r="E19" s="44">
        <v>20230009</v>
      </c>
    </row>
    <row r="20" spans="1:5" ht="25.5" x14ac:dyDescent="0.25">
      <c r="A20" s="44">
        <v>19</v>
      </c>
      <c r="B20" s="45" t="s">
        <v>206</v>
      </c>
      <c r="C20" s="46" t="s">
        <v>456</v>
      </c>
      <c r="D20" s="48" t="s">
        <v>457</v>
      </c>
      <c r="E20" s="44">
        <v>20230009</v>
      </c>
    </row>
    <row r="21" spans="1:5" ht="25.5" x14ac:dyDescent="0.25">
      <c r="A21" s="44">
        <v>20</v>
      </c>
      <c r="B21" s="45" t="s">
        <v>206</v>
      </c>
      <c r="C21" s="46" t="s">
        <v>605</v>
      </c>
      <c r="D21" s="48" t="s">
        <v>458</v>
      </c>
      <c r="E21" s="44">
        <v>20230009</v>
      </c>
    </row>
    <row r="22" spans="1:5" ht="25.5" x14ac:dyDescent="0.25">
      <c r="A22" s="44">
        <v>21</v>
      </c>
      <c r="B22" s="45" t="s">
        <v>206</v>
      </c>
      <c r="C22" s="46" t="s">
        <v>494</v>
      </c>
      <c r="D22" s="48" t="s">
        <v>496</v>
      </c>
      <c r="E22" s="44">
        <v>20230009</v>
      </c>
    </row>
    <row r="23" spans="1:5" ht="25.5" x14ac:dyDescent="0.25">
      <c r="A23" s="44">
        <v>22</v>
      </c>
      <c r="B23" s="45" t="s">
        <v>206</v>
      </c>
      <c r="C23" s="46" t="s">
        <v>495</v>
      </c>
      <c r="D23" s="48" t="s">
        <v>497</v>
      </c>
      <c r="E23" s="44">
        <v>20230009</v>
      </c>
    </row>
    <row r="24" spans="1:5" ht="38.25" x14ac:dyDescent="0.25">
      <c r="A24" s="44">
        <v>23</v>
      </c>
      <c r="B24" s="45" t="s">
        <v>562</v>
      </c>
      <c r="C24" s="46" t="s">
        <v>606</v>
      </c>
      <c r="D24" s="48" t="s">
        <v>93</v>
      </c>
      <c r="E24" s="44">
        <v>20230009</v>
      </c>
    </row>
    <row r="25" spans="1:5" ht="25.5" x14ac:dyDescent="0.25">
      <c r="A25" s="44">
        <v>24</v>
      </c>
      <c r="B25" s="45" t="s">
        <v>562</v>
      </c>
      <c r="C25" s="46" t="s">
        <v>664</v>
      </c>
      <c r="D25" s="48" t="s">
        <v>665</v>
      </c>
      <c r="E25" s="44">
        <v>10410023</v>
      </c>
    </row>
    <row r="26" spans="1:5" ht="25.5" x14ac:dyDescent="0.25">
      <c r="A26" s="44">
        <v>25</v>
      </c>
      <c r="B26" s="45" t="s">
        <v>562</v>
      </c>
      <c r="C26" s="46" t="s">
        <v>666</v>
      </c>
      <c r="D26" s="48" t="s">
        <v>667</v>
      </c>
      <c r="E26" s="44">
        <v>10410023</v>
      </c>
    </row>
    <row r="27" spans="1:5" x14ac:dyDescent="0.25">
      <c r="A27" s="44">
        <v>26</v>
      </c>
      <c r="B27" s="45" t="s">
        <v>562</v>
      </c>
      <c r="C27" s="46" t="s">
        <v>599</v>
      </c>
      <c r="D27" s="48" t="s">
        <v>412</v>
      </c>
      <c r="E27" s="44">
        <v>10410023</v>
      </c>
    </row>
    <row r="28" spans="1:5" ht="25.5" x14ac:dyDescent="0.25">
      <c r="A28" s="44">
        <v>27</v>
      </c>
      <c r="B28" s="45" t="s">
        <v>562</v>
      </c>
      <c r="C28" s="46" t="s">
        <v>411</v>
      </c>
      <c r="D28" s="48" t="s">
        <v>423</v>
      </c>
      <c r="E28" s="44">
        <v>10410023</v>
      </c>
    </row>
    <row r="29" spans="1:5" x14ac:dyDescent="0.25">
      <c r="A29" s="44">
        <v>28</v>
      </c>
      <c r="B29" s="45" t="s">
        <v>562</v>
      </c>
      <c r="C29" s="46" t="s">
        <v>477</v>
      </c>
      <c r="D29" s="48" t="s">
        <v>478</v>
      </c>
      <c r="E29" s="44">
        <v>10410023</v>
      </c>
    </row>
    <row r="30" spans="1:5" ht="25.5" x14ac:dyDescent="0.25">
      <c r="A30" s="44">
        <v>29</v>
      </c>
      <c r="B30" s="45" t="s">
        <v>565</v>
      </c>
      <c r="C30" s="46" t="s">
        <v>607</v>
      </c>
      <c r="D30" s="48" t="s">
        <v>94</v>
      </c>
      <c r="E30" s="44">
        <v>20230009</v>
      </c>
    </row>
    <row r="31" spans="1:5" x14ac:dyDescent="0.25">
      <c r="A31" s="44">
        <v>30</v>
      </c>
      <c r="B31" s="45" t="s">
        <v>565</v>
      </c>
      <c r="C31" s="46" t="s">
        <v>403</v>
      </c>
      <c r="D31" s="48" t="s">
        <v>405</v>
      </c>
      <c r="E31" s="44">
        <v>20230009</v>
      </c>
    </row>
    <row r="32" spans="1:5" ht="25.5" x14ac:dyDescent="0.25">
      <c r="A32" s="44">
        <v>31</v>
      </c>
      <c r="B32" s="45" t="s">
        <v>565</v>
      </c>
      <c r="C32" s="46" t="s">
        <v>608</v>
      </c>
      <c r="D32" s="48" t="s">
        <v>413</v>
      </c>
      <c r="E32" s="44">
        <v>20230009</v>
      </c>
    </row>
    <row r="33" spans="1:5" x14ac:dyDescent="0.25">
      <c r="A33" s="44">
        <v>32</v>
      </c>
      <c r="B33" s="45" t="s">
        <v>565</v>
      </c>
      <c r="C33" s="46" t="s">
        <v>599</v>
      </c>
      <c r="D33" s="48" t="s">
        <v>424</v>
      </c>
      <c r="E33" s="44">
        <v>10410023</v>
      </c>
    </row>
    <row r="34" spans="1:5" ht="25.5" x14ac:dyDescent="0.25">
      <c r="A34" s="44">
        <v>33</v>
      </c>
      <c r="B34" s="45" t="s">
        <v>566</v>
      </c>
      <c r="C34" s="46" t="s">
        <v>136</v>
      </c>
      <c r="D34" s="48" t="s">
        <v>95</v>
      </c>
      <c r="E34" s="44">
        <v>20230009</v>
      </c>
    </row>
    <row r="35" spans="1:5" x14ac:dyDescent="0.25">
      <c r="A35" s="44">
        <v>34</v>
      </c>
      <c r="B35" s="45" t="s">
        <v>566</v>
      </c>
      <c r="C35" s="46" t="s">
        <v>498</v>
      </c>
      <c r="D35" s="48" t="s">
        <v>499</v>
      </c>
      <c r="E35" s="44">
        <v>10410023</v>
      </c>
    </row>
    <row r="36" spans="1:5" x14ac:dyDescent="0.25">
      <c r="A36" s="44">
        <v>35</v>
      </c>
      <c r="B36" s="45" t="s">
        <v>567</v>
      </c>
      <c r="C36" s="46" t="s">
        <v>168</v>
      </c>
      <c r="D36" s="48" t="s">
        <v>134</v>
      </c>
      <c r="E36" s="44">
        <v>20230017</v>
      </c>
    </row>
    <row r="37" spans="1:5" x14ac:dyDescent="0.25">
      <c r="A37" s="44">
        <v>36</v>
      </c>
      <c r="B37" s="45" t="s">
        <v>567</v>
      </c>
      <c r="C37" s="46" t="s">
        <v>696</v>
      </c>
      <c r="D37" s="48" t="s">
        <v>697</v>
      </c>
      <c r="E37" s="44">
        <v>20230030</v>
      </c>
    </row>
    <row r="38" spans="1:5" x14ac:dyDescent="0.25">
      <c r="A38" s="44">
        <v>37</v>
      </c>
      <c r="B38" s="45" t="s">
        <v>569</v>
      </c>
      <c r="C38" s="46" t="s">
        <v>603</v>
      </c>
      <c r="D38" s="48" t="s">
        <v>459</v>
      </c>
      <c r="E38" s="44">
        <v>10410023</v>
      </c>
    </row>
    <row r="39" spans="1:5" x14ac:dyDescent="0.25">
      <c r="A39" s="44">
        <v>38</v>
      </c>
      <c r="B39" s="45" t="s">
        <v>571</v>
      </c>
      <c r="C39" s="46" t="s">
        <v>672</v>
      </c>
      <c r="D39" s="48" t="s">
        <v>673</v>
      </c>
      <c r="E39" s="44">
        <v>10410023</v>
      </c>
    </row>
    <row r="40" spans="1:5" ht="25.5" x14ac:dyDescent="0.25">
      <c r="A40" s="44">
        <v>39</v>
      </c>
      <c r="B40" s="45" t="s">
        <v>572</v>
      </c>
      <c r="C40" s="46" t="s">
        <v>425</v>
      </c>
      <c r="D40" s="48" t="s">
        <v>426</v>
      </c>
      <c r="E40" s="44">
        <v>20230009</v>
      </c>
    </row>
    <row r="41" spans="1:5" ht="25.5" x14ac:dyDescent="0.25">
      <c r="A41" s="44">
        <v>40</v>
      </c>
      <c r="B41" s="45" t="s">
        <v>572</v>
      </c>
      <c r="C41" s="46" t="s">
        <v>460</v>
      </c>
      <c r="D41" s="48" t="s">
        <v>461</v>
      </c>
      <c r="E41" s="44">
        <v>20230009</v>
      </c>
    </row>
    <row r="42" spans="1:5" x14ac:dyDescent="0.25">
      <c r="A42" s="44">
        <v>41</v>
      </c>
      <c r="B42" s="45" t="s">
        <v>572</v>
      </c>
      <c r="C42" s="46" t="s">
        <v>648</v>
      </c>
      <c r="D42" s="48" t="s">
        <v>649</v>
      </c>
      <c r="E42" s="44">
        <v>20230009</v>
      </c>
    </row>
    <row r="43" spans="1:5" x14ac:dyDescent="0.25">
      <c r="A43" s="44">
        <v>42</v>
      </c>
      <c r="B43" s="45" t="s">
        <v>572</v>
      </c>
      <c r="C43" s="46" t="s">
        <v>650</v>
      </c>
      <c r="D43" s="48" t="s">
        <v>651</v>
      </c>
      <c r="E43" s="44">
        <v>20230009</v>
      </c>
    </row>
    <row r="44" spans="1:5" x14ac:dyDescent="0.25">
      <c r="A44" s="44">
        <v>43</v>
      </c>
      <c r="B44" s="45" t="s">
        <v>572</v>
      </c>
      <c r="C44" s="46" t="s">
        <v>640</v>
      </c>
      <c r="D44" s="48" t="s">
        <v>641</v>
      </c>
      <c r="E44" s="44">
        <v>20230009</v>
      </c>
    </row>
    <row r="45" spans="1:5" ht="25.5" x14ac:dyDescent="0.25">
      <c r="A45" s="44">
        <v>44</v>
      </c>
      <c r="B45" s="45" t="s">
        <v>208</v>
      </c>
      <c r="C45" s="46" t="s">
        <v>609</v>
      </c>
      <c r="D45" s="48" t="s">
        <v>450</v>
      </c>
      <c r="E45" s="44">
        <v>20230019</v>
      </c>
    </row>
    <row r="46" spans="1:5" ht="25.5" x14ac:dyDescent="0.25">
      <c r="A46" s="44">
        <v>45</v>
      </c>
      <c r="B46" s="45" t="s">
        <v>574</v>
      </c>
      <c r="C46" s="46" t="s">
        <v>652</v>
      </c>
      <c r="D46" s="48" t="s">
        <v>653</v>
      </c>
      <c r="E46" s="44">
        <v>20230009</v>
      </c>
    </row>
    <row r="47" spans="1:5" ht="25.5" x14ac:dyDescent="0.25">
      <c r="A47" s="44">
        <v>46</v>
      </c>
      <c r="B47" s="45" t="s">
        <v>574</v>
      </c>
      <c r="C47" s="46" t="s">
        <v>610</v>
      </c>
      <c r="D47" s="48" t="s">
        <v>443</v>
      </c>
      <c r="E47" s="44">
        <v>20230019</v>
      </c>
    </row>
    <row r="48" spans="1:5" ht="25.5" x14ac:dyDescent="0.25">
      <c r="A48" s="44">
        <v>47</v>
      </c>
      <c r="B48" s="45" t="s">
        <v>574</v>
      </c>
      <c r="C48" s="46" t="s">
        <v>490</v>
      </c>
      <c r="D48" s="48" t="s">
        <v>491</v>
      </c>
      <c r="E48" s="44">
        <v>20230009</v>
      </c>
    </row>
    <row r="49" spans="1:5" ht="38.25" x14ac:dyDescent="0.25">
      <c r="A49" s="44">
        <v>48</v>
      </c>
      <c r="B49" s="45" t="s">
        <v>574</v>
      </c>
      <c r="C49" s="46" t="s">
        <v>711</v>
      </c>
      <c r="D49" s="48" t="s">
        <v>492</v>
      </c>
      <c r="E49" s="44">
        <v>20230009</v>
      </c>
    </row>
    <row r="50" spans="1:5" x14ac:dyDescent="0.25">
      <c r="A50" s="44">
        <v>49</v>
      </c>
      <c r="B50" s="45" t="s">
        <v>575</v>
      </c>
      <c r="C50" s="46" t="s">
        <v>137</v>
      </c>
      <c r="D50" s="48" t="s">
        <v>96</v>
      </c>
      <c r="E50" s="44">
        <v>20230009</v>
      </c>
    </row>
    <row r="51" spans="1:5" x14ac:dyDescent="0.25">
      <c r="A51" s="44">
        <v>50</v>
      </c>
      <c r="B51" s="45" t="s">
        <v>215</v>
      </c>
      <c r="C51" s="46" t="s">
        <v>700</v>
      </c>
      <c r="D51" s="48" t="s">
        <v>701</v>
      </c>
      <c r="E51" s="44">
        <v>20230009</v>
      </c>
    </row>
    <row r="52" spans="1:5" x14ac:dyDescent="0.25">
      <c r="A52" s="44">
        <v>51</v>
      </c>
      <c r="B52" s="45" t="s">
        <v>209</v>
      </c>
      <c r="C52" s="46" t="s">
        <v>599</v>
      </c>
      <c r="D52" s="48" t="s">
        <v>427</v>
      </c>
      <c r="E52" s="44">
        <v>10410023</v>
      </c>
    </row>
    <row r="53" spans="1:5" x14ac:dyDescent="0.25">
      <c r="A53" s="44">
        <v>52</v>
      </c>
      <c r="B53" s="45" t="s">
        <v>210</v>
      </c>
      <c r="C53" s="46" t="s">
        <v>138</v>
      </c>
      <c r="D53" s="48" t="s">
        <v>97</v>
      </c>
      <c r="E53" s="44">
        <v>20230009</v>
      </c>
    </row>
    <row r="54" spans="1:5" x14ac:dyDescent="0.25">
      <c r="A54" s="44">
        <v>53</v>
      </c>
      <c r="B54" s="45" t="s">
        <v>210</v>
      </c>
      <c r="C54" s="46" t="s">
        <v>611</v>
      </c>
      <c r="D54" s="48" t="s">
        <v>428</v>
      </c>
      <c r="E54" s="44">
        <v>10410023</v>
      </c>
    </row>
    <row r="55" spans="1:5" ht="25.5" x14ac:dyDescent="0.25">
      <c r="A55" s="44">
        <v>54</v>
      </c>
      <c r="B55" s="45" t="s">
        <v>408</v>
      </c>
      <c r="C55" s="46" t="s">
        <v>678</v>
      </c>
      <c r="D55" s="48" t="s">
        <v>679</v>
      </c>
      <c r="E55" s="44">
        <v>20230009</v>
      </c>
    </row>
    <row r="56" spans="1:5" ht="25.5" x14ac:dyDescent="0.25">
      <c r="A56" s="44">
        <v>55</v>
      </c>
      <c r="B56" s="45" t="s">
        <v>216</v>
      </c>
      <c r="C56" s="46" t="s">
        <v>684</v>
      </c>
      <c r="D56" s="48" t="s">
        <v>685</v>
      </c>
      <c r="E56" s="44">
        <v>20230009</v>
      </c>
    </row>
    <row r="57" spans="1:5" x14ac:dyDescent="0.25">
      <c r="A57" s="44">
        <v>56</v>
      </c>
      <c r="B57" s="45" t="s">
        <v>577</v>
      </c>
      <c r="C57" s="46" t="s">
        <v>143</v>
      </c>
      <c r="D57" s="48" t="s">
        <v>104</v>
      </c>
      <c r="E57" s="44">
        <v>20230014</v>
      </c>
    </row>
    <row r="58" spans="1:5" x14ac:dyDescent="0.25">
      <c r="A58" s="44">
        <v>57</v>
      </c>
      <c r="B58" s="45" t="s">
        <v>577</v>
      </c>
      <c r="C58" s="46" t="s">
        <v>145</v>
      </c>
      <c r="D58" s="48" t="s">
        <v>105</v>
      </c>
      <c r="E58" s="44">
        <v>20230014</v>
      </c>
    </row>
    <row r="59" spans="1:5" x14ac:dyDescent="0.25">
      <c r="A59" s="44">
        <v>58</v>
      </c>
      <c r="B59" s="45" t="s">
        <v>577</v>
      </c>
      <c r="C59" s="46" t="s">
        <v>146</v>
      </c>
      <c r="D59" s="48" t="s">
        <v>106</v>
      </c>
      <c r="E59" s="44">
        <v>20230014</v>
      </c>
    </row>
    <row r="60" spans="1:5" x14ac:dyDescent="0.25">
      <c r="A60" s="44">
        <v>59</v>
      </c>
      <c r="B60" s="45" t="s">
        <v>577</v>
      </c>
      <c r="C60" s="46" t="s">
        <v>144</v>
      </c>
      <c r="D60" s="48" t="s">
        <v>107</v>
      </c>
      <c r="E60" s="44">
        <v>20230014</v>
      </c>
    </row>
    <row r="61" spans="1:5" ht="25.5" x14ac:dyDescent="0.25">
      <c r="A61" s="44">
        <v>60</v>
      </c>
      <c r="B61" s="45" t="s">
        <v>577</v>
      </c>
      <c r="C61" s="46" t="s">
        <v>147</v>
      </c>
      <c r="D61" s="48" t="s">
        <v>108</v>
      </c>
      <c r="E61" s="44">
        <v>20230009</v>
      </c>
    </row>
    <row r="62" spans="1:5" x14ac:dyDescent="0.25">
      <c r="A62" s="44">
        <v>61</v>
      </c>
      <c r="B62" s="45" t="s">
        <v>578</v>
      </c>
      <c r="C62" s="46" t="s">
        <v>599</v>
      </c>
      <c r="D62" s="48" t="s">
        <v>642</v>
      </c>
      <c r="E62" s="44">
        <v>10410023</v>
      </c>
    </row>
    <row r="63" spans="1:5" ht="25.5" x14ac:dyDescent="0.25">
      <c r="A63" s="44">
        <v>62</v>
      </c>
      <c r="B63" s="45" t="s">
        <v>578</v>
      </c>
      <c r="C63" s="46" t="s">
        <v>702</v>
      </c>
      <c r="D63" s="48" t="s">
        <v>703</v>
      </c>
      <c r="E63" s="44">
        <v>20230009</v>
      </c>
    </row>
    <row r="64" spans="1:5" ht="25.5" x14ac:dyDescent="0.25">
      <c r="A64" s="44">
        <v>63</v>
      </c>
      <c r="B64" s="45" t="s">
        <v>579</v>
      </c>
      <c r="C64" s="46" t="s">
        <v>686</v>
      </c>
      <c r="D64" s="48" t="s">
        <v>687</v>
      </c>
      <c r="E64" s="44">
        <v>20230009</v>
      </c>
    </row>
    <row r="65" spans="1:5" x14ac:dyDescent="0.25">
      <c r="A65" s="44">
        <v>64</v>
      </c>
      <c r="B65" s="45" t="s">
        <v>579</v>
      </c>
      <c r="C65" s="46" t="s">
        <v>688</v>
      </c>
      <c r="D65" s="48" t="s">
        <v>689</v>
      </c>
      <c r="E65" s="44">
        <v>20230009</v>
      </c>
    </row>
    <row r="66" spans="1:5" x14ac:dyDescent="0.25">
      <c r="A66" s="44">
        <v>65</v>
      </c>
      <c r="B66" s="43" t="s">
        <v>579</v>
      </c>
      <c r="C66" s="46" t="s">
        <v>139</v>
      </c>
      <c r="D66" s="48" t="s">
        <v>98</v>
      </c>
      <c r="E66" s="44">
        <v>20230009</v>
      </c>
    </row>
    <row r="67" spans="1:5" ht="25.5" x14ac:dyDescent="0.25">
      <c r="A67" s="44">
        <v>66</v>
      </c>
      <c r="B67" s="43" t="s">
        <v>579</v>
      </c>
      <c r="C67" s="46" t="s">
        <v>140</v>
      </c>
      <c r="D67" s="48" t="s">
        <v>99</v>
      </c>
      <c r="E67" s="44">
        <v>20230009</v>
      </c>
    </row>
    <row r="68" spans="1:5" ht="25.5" x14ac:dyDescent="0.25">
      <c r="A68" s="44">
        <v>67</v>
      </c>
      <c r="B68" s="43" t="s">
        <v>579</v>
      </c>
      <c r="C68" s="46" t="s">
        <v>500</v>
      </c>
      <c r="D68" s="48" t="s">
        <v>501</v>
      </c>
      <c r="E68" s="44">
        <v>20230019</v>
      </c>
    </row>
    <row r="69" spans="1:5" x14ac:dyDescent="0.25">
      <c r="A69" s="44">
        <v>68</v>
      </c>
      <c r="B69" s="45" t="s">
        <v>580</v>
      </c>
      <c r="C69" s="46" t="s">
        <v>141</v>
      </c>
      <c r="D69" s="48" t="s">
        <v>100</v>
      </c>
      <c r="E69" s="44">
        <v>20230009</v>
      </c>
    </row>
    <row r="70" spans="1:5" x14ac:dyDescent="0.25">
      <c r="A70" s="44">
        <v>69</v>
      </c>
      <c r="B70" s="43" t="s">
        <v>580</v>
      </c>
      <c r="C70" s="46" t="s">
        <v>142</v>
      </c>
      <c r="D70" s="48" t="s">
        <v>101</v>
      </c>
      <c r="E70" s="44">
        <v>20230009</v>
      </c>
    </row>
    <row r="71" spans="1:5" ht="25.5" x14ac:dyDescent="0.25">
      <c r="A71" s="44">
        <v>70</v>
      </c>
      <c r="B71" s="43" t="s">
        <v>580</v>
      </c>
      <c r="C71" s="46" t="s">
        <v>612</v>
      </c>
      <c r="D71" s="48" t="s">
        <v>102</v>
      </c>
      <c r="E71" s="44">
        <v>20230009</v>
      </c>
    </row>
    <row r="72" spans="1:5" x14ac:dyDescent="0.25">
      <c r="A72" s="44">
        <v>71</v>
      </c>
      <c r="B72" s="43" t="s">
        <v>580</v>
      </c>
      <c r="C72" s="46" t="s">
        <v>429</v>
      </c>
      <c r="D72" s="48" t="s">
        <v>430</v>
      </c>
      <c r="E72" s="44">
        <v>10410023</v>
      </c>
    </row>
    <row r="73" spans="1:5" x14ac:dyDescent="0.25">
      <c r="A73" s="44">
        <v>72</v>
      </c>
      <c r="B73" s="43" t="s">
        <v>580</v>
      </c>
      <c r="C73" s="46" t="s">
        <v>599</v>
      </c>
      <c r="D73" s="48" t="s">
        <v>444</v>
      </c>
      <c r="E73" s="44">
        <v>10410023</v>
      </c>
    </row>
    <row r="74" spans="1:5" x14ac:dyDescent="0.25">
      <c r="A74" s="44">
        <v>73</v>
      </c>
      <c r="B74" s="43" t="s">
        <v>580</v>
      </c>
      <c r="C74" s="46" t="s">
        <v>613</v>
      </c>
      <c r="D74" s="48" t="s">
        <v>502</v>
      </c>
      <c r="E74" s="44">
        <v>20230009</v>
      </c>
    </row>
    <row r="75" spans="1:5" x14ac:dyDescent="0.25">
      <c r="A75" s="44">
        <v>74</v>
      </c>
      <c r="B75" s="43" t="s">
        <v>582</v>
      </c>
      <c r="C75" s="46" t="s">
        <v>614</v>
      </c>
      <c r="D75" s="48" t="s">
        <v>103</v>
      </c>
      <c r="E75" s="44">
        <v>20230009</v>
      </c>
    </row>
    <row r="76" spans="1:5" ht="25.5" x14ac:dyDescent="0.25">
      <c r="A76" s="44">
        <v>75</v>
      </c>
      <c r="B76" s="43" t="s">
        <v>582</v>
      </c>
      <c r="C76" s="46" t="s">
        <v>615</v>
      </c>
      <c r="D76" s="48" t="s">
        <v>445</v>
      </c>
      <c r="E76" s="44">
        <v>20230009</v>
      </c>
    </row>
    <row r="77" spans="1:5" x14ac:dyDescent="0.25">
      <c r="A77" s="44">
        <v>76</v>
      </c>
      <c r="B77" s="43" t="s">
        <v>582</v>
      </c>
      <c r="C77" s="46" t="s">
        <v>487</v>
      </c>
      <c r="D77" s="48" t="s">
        <v>488</v>
      </c>
      <c r="E77" s="44">
        <v>20230019</v>
      </c>
    </row>
    <row r="78" spans="1:5" ht="25.5" x14ac:dyDescent="0.25">
      <c r="A78" s="44">
        <v>77</v>
      </c>
      <c r="B78" s="43" t="s">
        <v>582</v>
      </c>
      <c r="C78" s="46" t="s">
        <v>616</v>
      </c>
      <c r="D78" s="48" t="s">
        <v>503</v>
      </c>
      <c r="E78" s="44">
        <v>20230009</v>
      </c>
    </row>
    <row r="79" spans="1:5" x14ac:dyDescent="0.25">
      <c r="A79" s="44">
        <v>78</v>
      </c>
      <c r="B79" s="43" t="s">
        <v>584</v>
      </c>
      <c r="C79" s="46" t="s">
        <v>462</v>
      </c>
      <c r="D79" s="48" t="s">
        <v>463</v>
      </c>
      <c r="E79" s="44">
        <v>20230009</v>
      </c>
    </row>
    <row r="80" spans="1:5" x14ac:dyDescent="0.25">
      <c r="A80" s="44">
        <v>79</v>
      </c>
      <c r="B80" s="43" t="s">
        <v>584</v>
      </c>
      <c r="C80" s="46" t="s">
        <v>504</v>
      </c>
      <c r="D80" s="48" t="s">
        <v>505</v>
      </c>
      <c r="E80" s="44">
        <v>10410023</v>
      </c>
    </row>
    <row r="81" spans="1:5" ht="25.5" x14ac:dyDescent="0.25">
      <c r="A81" s="44">
        <v>80</v>
      </c>
      <c r="B81" s="43" t="s">
        <v>584</v>
      </c>
      <c r="C81" s="46" t="s">
        <v>668</v>
      </c>
      <c r="D81" s="48" t="s">
        <v>669</v>
      </c>
      <c r="E81" s="44">
        <v>10410023</v>
      </c>
    </row>
    <row r="82" spans="1:5" x14ac:dyDescent="0.25">
      <c r="A82" s="44">
        <v>81</v>
      </c>
      <c r="B82" s="43" t="s">
        <v>585</v>
      </c>
      <c r="C82" s="46" t="s">
        <v>654</v>
      </c>
      <c r="D82" s="48" t="s">
        <v>655</v>
      </c>
      <c r="E82" s="44">
        <v>20230009</v>
      </c>
    </row>
    <row r="83" spans="1:5" ht="25.5" x14ac:dyDescent="0.25">
      <c r="A83" s="44">
        <v>82</v>
      </c>
      <c r="B83" s="43" t="s">
        <v>585</v>
      </c>
      <c r="C83" s="46" t="s">
        <v>674</v>
      </c>
      <c r="D83" s="48" t="s">
        <v>675</v>
      </c>
      <c r="E83" s="44">
        <v>10410023</v>
      </c>
    </row>
    <row r="84" spans="1:5" ht="25.5" x14ac:dyDescent="0.25">
      <c r="A84" s="44">
        <v>83</v>
      </c>
      <c r="B84" s="43" t="s">
        <v>585</v>
      </c>
      <c r="C84" s="46" t="s">
        <v>464</v>
      </c>
      <c r="D84" s="48" t="s">
        <v>465</v>
      </c>
      <c r="E84" s="44">
        <v>20230009</v>
      </c>
    </row>
    <row r="85" spans="1:5" x14ac:dyDescent="0.25">
      <c r="A85" s="44">
        <v>84</v>
      </c>
      <c r="B85" s="43" t="s">
        <v>585</v>
      </c>
      <c r="C85" s="46" t="s">
        <v>148</v>
      </c>
      <c r="D85" s="48" t="s">
        <v>109</v>
      </c>
      <c r="E85" s="44">
        <v>20230009</v>
      </c>
    </row>
    <row r="86" spans="1:5" x14ac:dyDescent="0.25">
      <c r="A86" s="44">
        <v>85</v>
      </c>
      <c r="B86" s="43" t="s">
        <v>585</v>
      </c>
      <c r="C86" s="46" t="s">
        <v>656</v>
      </c>
      <c r="D86" s="48" t="s">
        <v>657</v>
      </c>
      <c r="E86" s="44">
        <v>20230009</v>
      </c>
    </row>
    <row r="87" spans="1:5" x14ac:dyDescent="0.25">
      <c r="A87" s="44">
        <v>86</v>
      </c>
      <c r="B87" s="43" t="s">
        <v>585</v>
      </c>
      <c r="C87" s="46" t="s">
        <v>466</v>
      </c>
      <c r="D87" s="48" t="s">
        <v>467</v>
      </c>
      <c r="E87" s="44">
        <v>10410023</v>
      </c>
    </row>
    <row r="88" spans="1:5" x14ac:dyDescent="0.25">
      <c r="A88" s="44">
        <v>87</v>
      </c>
      <c r="B88" s="43" t="s">
        <v>585</v>
      </c>
      <c r="C88" s="46" t="s">
        <v>149</v>
      </c>
      <c r="D88" s="48" t="s">
        <v>110</v>
      </c>
      <c r="E88" s="44">
        <v>20230009</v>
      </c>
    </row>
    <row r="89" spans="1:5" x14ac:dyDescent="0.25">
      <c r="A89" s="44">
        <v>88</v>
      </c>
      <c r="B89" s="43" t="s">
        <v>585</v>
      </c>
      <c r="C89" s="46" t="s">
        <v>414</v>
      </c>
      <c r="D89" s="48" t="s">
        <v>111</v>
      </c>
      <c r="E89" s="44">
        <v>20230009</v>
      </c>
    </row>
    <row r="90" spans="1:5" ht="25.5" x14ac:dyDescent="0.25">
      <c r="A90" s="44">
        <v>89</v>
      </c>
      <c r="B90" s="43" t="s">
        <v>585</v>
      </c>
      <c r="C90" s="46" t="s">
        <v>676</v>
      </c>
      <c r="D90" s="48" t="s">
        <v>677</v>
      </c>
      <c r="E90" s="44">
        <v>20230009</v>
      </c>
    </row>
    <row r="91" spans="1:5" x14ac:dyDescent="0.25">
      <c r="A91" s="44">
        <v>90</v>
      </c>
      <c r="B91" s="43" t="s">
        <v>585</v>
      </c>
      <c r="C91" s="46" t="s">
        <v>599</v>
      </c>
      <c r="D91" s="48" t="s">
        <v>643</v>
      </c>
      <c r="E91" s="44">
        <v>10410023</v>
      </c>
    </row>
    <row r="92" spans="1:5" x14ac:dyDescent="0.25">
      <c r="A92" s="44">
        <v>91</v>
      </c>
      <c r="B92" s="43" t="s">
        <v>586</v>
      </c>
      <c r="C92" s="46" t="s">
        <v>599</v>
      </c>
      <c r="D92" s="48" t="s">
        <v>431</v>
      </c>
      <c r="E92" s="44">
        <v>10410023</v>
      </c>
    </row>
    <row r="93" spans="1:5" ht="25.5" x14ac:dyDescent="0.25">
      <c r="A93" s="44">
        <v>92</v>
      </c>
      <c r="B93" s="43" t="s">
        <v>587</v>
      </c>
      <c r="C93" s="46" t="s">
        <v>150</v>
      </c>
      <c r="D93" s="48" t="s">
        <v>617</v>
      </c>
      <c r="E93" s="44">
        <v>20230009</v>
      </c>
    </row>
    <row r="94" spans="1:5" ht="25.5" x14ac:dyDescent="0.25">
      <c r="A94" s="44">
        <v>93</v>
      </c>
      <c r="B94" s="43" t="s">
        <v>587</v>
      </c>
      <c r="C94" s="46" t="s">
        <v>644</v>
      </c>
      <c r="D94" s="48" t="s">
        <v>645</v>
      </c>
      <c r="E94" s="44">
        <v>20230009</v>
      </c>
    </row>
    <row r="95" spans="1:5" ht="51" x14ac:dyDescent="0.25">
      <c r="A95" s="44">
        <v>94</v>
      </c>
      <c r="B95" s="43" t="s">
        <v>587</v>
      </c>
      <c r="C95" s="46" t="s">
        <v>618</v>
      </c>
      <c r="D95" s="48" t="s">
        <v>446</v>
      </c>
      <c r="E95" s="44">
        <v>10410023</v>
      </c>
    </row>
    <row r="96" spans="1:5" x14ac:dyDescent="0.25">
      <c r="A96" s="44">
        <v>95</v>
      </c>
      <c r="B96" s="43" t="s">
        <v>587</v>
      </c>
      <c r="C96" s="46" t="s">
        <v>167</v>
      </c>
      <c r="D96" s="48" t="s">
        <v>619</v>
      </c>
      <c r="E96" s="44">
        <v>20230009</v>
      </c>
    </row>
    <row r="97" spans="1:5" ht="25.5" x14ac:dyDescent="0.25">
      <c r="A97" s="44">
        <v>96</v>
      </c>
      <c r="B97" s="43" t="s">
        <v>587</v>
      </c>
      <c r="C97" s="46" t="s">
        <v>439</v>
      </c>
      <c r="D97" s="48" t="s">
        <v>620</v>
      </c>
      <c r="E97" s="44">
        <v>20230019</v>
      </c>
    </row>
    <row r="98" spans="1:5" ht="38.25" x14ac:dyDescent="0.25">
      <c r="A98" s="44">
        <v>97</v>
      </c>
      <c r="B98" s="43" t="s">
        <v>587</v>
      </c>
      <c r="C98" s="46" t="s">
        <v>404</v>
      </c>
      <c r="D98" s="48" t="s">
        <v>621</v>
      </c>
      <c r="E98" s="44">
        <v>20230009</v>
      </c>
    </row>
    <row r="99" spans="1:5" ht="25.5" x14ac:dyDescent="0.25">
      <c r="A99" s="44">
        <v>98</v>
      </c>
      <c r="B99" s="43" t="s">
        <v>587</v>
      </c>
      <c r="C99" s="46" t="s">
        <v>506</v>
      </c>
      <c r="D99" s="48" t="s">
        <v>622</v>
      </c>
      <c r="E99" s="44">
        <v>20230009</v>
      </c>
    </row>
    <row r="100" spans="1:5" ht="38.25" x14ac:dyDescent="0.25">
      <c r="A100" s="44">
        <v>99</v>
      </c>
      <c r="B100" s="43" t="s">
        <v>587</v>
      </c>
      <c r="C100" s="46" t="s">
        <v>493</v>
      </c>
      <c r="D100" s="48" t="s">
        <v>512</v>
      </c>
      <c r="E100" s="44">
        <v>20230044</v>
      </c>
    </row>
    <row r="101" spans="1:5" x14ac:dyDescent="0.25">
      <c r="A101" s="44">
        <v>100</v>
      </c>
      <c r="B101" s="43" t="s">
        <v>587</v>
      </c>
      <c r="C101" s="46" t="s">
        <v>712</v>
      </c>
      <c r="D101" s="48" t="s">
        <v>713</v>
      </c>
      <c r="E101" s="44">
        <v>20230019</v>
      </c>
    </row>
    <row r="102" spans="1:5" x14ac:dyDescent="0.25">
      <c r="A102" s="44">
        <v>101</v>
      </c>
      <c r="B102" s="43" t="s">
        <v>588</v>
      </c>
      <c r="C102" s="46" t="s">
        <v>432</v>
      </c>
      <c r="D102" s="48" t="s">
        <v>433</v>
      </c>
      <c r="E102" s="44">
        <v>20230009</v>
      </c>
    </row>
    <row r="103" spans="1:5" ht="25.5" x14ac:dyDescent="0.25">
      <c r="A103" s="44">
        <v>102</v>
      </c>
      <c r="B103" s="43" t="s">
        <v>588</v>
      </c>
      <c r="C103" s="46" t="s">
        <v>658</v>
      </c>
      <c r="D103" s="48" t="s">
        <v>659</v>
      </c>
      <c r="E103" s="44">
        <v>20230009</v>
      </c>
    </row>
    <row r="104" spans="1:5" x14ac:dyDescent="0.25">
      <c r="A104" s="44">
        <v>103</v>
      </c>
      <c r="B104" s="43" t="s">
        <v>588</v>
      </c>
      <c r="C104" s="46" t="s">
        <v>704</v>
      </c>
      <c r="D104" s="48" t="s">
        <v>695</v>
      </c>
      <c r="E104" s="44">
        <v>20230019</v>
      </c>
    </row>
    <row r="105" spans="1:5" ht="25.5" x14ac:dyDescent="0.25">
      <c r="A105" s="44">
        <v>104</v>
      </c>
      <c r="B105" s="43" t="s">
        <v>589</v>
      </c>
      <c r="C105" s="46" t="s">
        <v>623</v>
      </c>
      <c r="D105" s="48" t="s">
        <v>112</v>
      </c>
      <c r="E105" s="44">
        <v>20230009</v>
      </c>
    </row>
    <row r="106" spans="1:5" x14ac:dyDescent="0.25">
      <c r="A106" s="44">
        <v>105</v>
      </c>
      <c r="B106" s="43" t="s">
        <v>589</v>
      </c>
      <c r="C106" s="46" t="s">
        <v>434</v>
      </c>
      <c r="D106" s="48" t="s">
        <v>435</v>
      </c>
      <c r="E106" s="44">
        <v>10410023</v>
      </c>
    </row>
    <row r="107" spans="1:5" ht="38.25" x14ac:dyDescent="0.25">
      <c r="A107" s="44">
        <v>106</v>
      </c>
      <c r="B107" s="43" t="s">
        <v>590</v>
      </c>
      <c r="C107" s="46" t="s">
        <v>624</v>
      </c>
      <c r="D107" s="48" t="s">
        <v>113</v>
      </c>
      <c r="E107" s="44">
        <v>20230009</v>
      </c>
    </row>
    <row r="108" spans="1:5" ht="25.5" x14ac:dyDescent="0.25">
      <c r="A108" s="44">
        <v>107</v>
      </c>
      <c r="B108" s="43" t="s">
        <v>590</v>
      </c>
      <c r="C108" s="46" t="s">
        <v>625</v>
      </c>
      <c r="D108" s="48" t="s">
        <v>114</v>
      </c>
      <c r="E108" s="44">
        <v>20230009</v>
      </c>
    </row>
    <row r="109" spans="1:5" ht="38.25" x14ac:dyDescent="0.25">
      <c r="A109" s="44">
        <v>108</v>
      </c>
      <c r="B109" s="43" t="s">
        <v>590</v>
      </c>
      <c r="C109" s="46" t="s">
        <v>626</v>
      </c>
      <c r="D109" s="48" t="s">
        <v>115</v>
      </c>
      <c r="E109" s="44">
        <v>20230009</v>
      </c>
    </row>
    <row r="110" spans="1:5" ht="25.5" x14ac:dyDescent="0.25">
      <c r="A110" s="44">
        <v>109</v>
      </c>
      <c r="B110" s="43" t="s">
        <v>590</v>
      </c>
      <c r="C110" s="46" t="s">
        <v>627</v>
      </c>
      <c r="D110" s="48" t="s">
        <v>415</v>
      </c>
      <c r="E110" s="44">
        <v>20230019</v>
      </c>
    </row>
    <row r="111" spans="1:5" ht="25.5" x14ac:dyDescent="0.25">
      <c r="A111" s="44">
        <v>110</v>
      </c>
      <c r="B111" s="43" t="s">
        <v>590</v>
      </c>
      <c r="C111" s="46" t="s">
        <v>416</v>
      </c>
      <c r="D111" s="48" t="s">
        <v>417</v>
      </c>
      <c r="E111" s="44">
        <v>20230019</v>
      </c>
    </row>
    <row r="112" spans="1:5" x14ac:dyDescent="0.25">
      <c r="A112" s="44">
        <v>111</v>
      </c>
      <c r="B112" s="43" t="s">
        <v>590</v>
      </c>
      <c r="C112" s="46" t="s">
        <v>436</v>
      </c>
      <c r="D112" s="48" t="s">
        <v>437</v>
      </c>
      <c r="E112" s="44">
        <v>10410023</v>
      </c>
    </row>
    <row r="113" spans="1:5" ht="51" x14ac:dyDescent="0.25">
      <c r="A113" s="44">
        <v>112</v>
      </c>
      <c r="B113" s="43" t="s">
        <v>590</v>
      </c>
      <c r="C113" s="46" t="s">
        <v>628</v>
      </c>
      <c r="D113" s="48" t="s">
        <v>507</v>
      </c>
      <c r="E113" s="44">
        <v>20230044</v>
      </c>
    </row>
    <row r="114" spans="1:5" ht="51" x14ac:dyDescent="0.25">
      <c r="A114" s="44">
        <v>113</v>
      </c>
      <c r="B114" s="43" t="s">
        <v>590</v>
      </c>
      <c r="C114" s="46" t="s">
        <v>629</v>
      </c>
      <c r="D114" s="48" t="s">
        <v>508</v>
      </c>
      <c r="E114" s="44">
        <v>20230044</v>
      </c>
    </row>
    <row r="115" spans="1:5" ht="51" x14ac:dyDescent="0.25">
      <c r="A115" s="44">
        <v>114</v>
      </c>
      <c r="B115" s="43" t="s">
        <v>590</v>
      </c>
      <c r="C115" s="46" t="s">
        <v>630</v>
      </c>
      <c r="D115" s="48" t="s">
        <v>509</v>
      </c>
      <c r="E115" s="44">
        <v>20230044</v>
      </c>
    </row>
    <row r="116" spans="1:5" ht="25.5" x14ac:dyDescent="0.25">
      <c r="A116" s="44">
        <v>115</v>
      </c>
      <c r="B116" s="43" t="s">
        <v>591</v>
      </c>
      <c r="C116" s="46" t="s">
        <v>631</v>
      </c>
      <c r="D116" s="48" t="s">
        <v>468</v>
      </c>
      <c r="E116" s="44">
        <v>20230009</v>
      </c>
    </row>
    <row r="117" spans="1:5" ht="25.5" x14ac:dyDescent="0.25">
      <c r="A117" s="44">
        <v>116</v>
      </c>
      <c r="B117" s="43" t="s">
        <v>591</v>
      </c>
      <c r="C117" s="46" t="s">
        <v>632</v>
      </c>
      <c r="D117" s="48" t="s">
        <v>469</v>
      </c>
      <c r="E117" s="44">
        <v>20230009</v>
      </c>
    </row>
    <row r="118" spans="1:5" ht="25.5" x14ac:dyDescent="0.25">
      <c r="A118" s="44">
        <v>117</v>
      </c>
      <c r="B118" s="43" t="s">
        <v>591</v>
      </c>
      <c r="C118" s="46" t="s">
        <v>633</v>
      </c>
      <c r="D118" s="48" t="s">
        <v>406</v>
      </c>
      <c r="E118" s="44">
        <v>20230019</v>
      </c>
    </row>
    <row r="119" spans="1:5" x14ac:dyDescent="0.25">
      <c r="A119" s="44">
        <v>118</v>
      </c>
      <c r="B119" s="43" t="s">
        <v>591</v>
      </c>
      <c r="C119" s="46" t="s">
        <v>634</v>
      </c>
      <c r="D119" s="48" t="s">
        <v>486</v>
      </c>
      <c r="E119" s="44">
        <v>10410023</v>
      </c>
    </row>
    <row r="120" spans="1:5" ht="25.5" x14ac:dyDescent="0.25">
      <c r="A120" s="44">
        <v>119</v>
      </c>
      <c r="B120" s="43" t="s">
        <v>591</v>
      </c>
      <c r="C120" s="46" t="s">
        <v>510</v>
      </c>
      <c r="D120" s="48" t="s">
        <v>511</v>
      </c>
      <c r="E120" s="44">
        <v>20230019</v>
      </c>
    </row>
    <row r="121" spans="1:5" x14ac:dyDescent="0.25">
      <c r="A121" s="44">
        <v>120</v>
      </c>
      <c r="B121" s="43" t="s">
        <v>592</v>
      </c>
      <c r="C121" s="46" t="s">
        <v>151</v>
      </c>
      <c r="D121" s="48" t="s">
        <v>116</v>
      </c>
      <c r="E121" s="44">
        <v>20230009</v>
      </c>
    </row>
    <row r="122" spans="1:5" ht="25.5" x14ac:dyDescent="0.25">
      <c r="A122" s="44">
        <v>121</v>
      </c>
      <c r="B122" s="43" t="s">
        <v>592</v>
      </c>
      <c r="C122" s="46" t="s">
        <v>635</v>
      </c>
      <c r="D122" s="48" t="s">
        <v>447</v>
      </c>
      <c r="E122" s="44">
        <v>10410023</v>
      </c>
    </row>
    <row r="123" spans="1:5" ht="25.5" x14ac:dyDescent="0.25">
      <c r="A123" s="44">
        <v>122</v>
      </c>
      <c r="B123" s="43" t="s">
        <v>592</v>
      </c>
      <c r="C123" s="46" t="s">
        <v>470</v>
      </c>
      <c r="D123" s="48" t="s">
        <v>471</v>
      </c>
      <c r="E123" s="44">
        <v>10410023</v>
      </c>
    </row>
    <row r="124" spans="1:5" x14ac:dyDescent="0.25">
      <c r="A124" s="44">
        <v>123</v>
      </c>
      <c r="B124" s="43" t="s">
        <v>592</v>
      </c>
      <c r="C124" s="46" t="s">
        <v>599</v>
      </c>
      <c r="D124" s="48" t="s">
        <v>448</v>
      </c>
      <c r="E124" s="44">
        <v>10410023</v>
      </c>
    </row>
    <row r="125" spans="1:5" ht="25.5" x14ac:dyDescent="0.25">
      <c r="A125" s="44">
        <v>124</v>
      </c>
      <c r="B125" s="43" t="s">
        <v>593</v>
      </c>
      <c r="C125" s="46" t="s">
        <v>660</v>
      </c>
      <c r="D125" s="48" t="s">
        <v>661</v>
      </c>
      <c r="E125" s="44">
        <v>20230009</v>
      </c>
    </row>
    <row r="126" spans="1:5" x14ac:dyDescent="0.25">
      <c r="A126" s="44">
        <v>125</v>
      </c>
      <c r="B126" s="43" t="s">
        <v>593</v>
      </c>
      <c r="C126" s="46" t="s">
        <v>599</v>
      </c>
      <c r="D126" s="48" t="s">
        <v>438</v>
      </c>
      <c r="E126" s="44">
        <v>10410023</v>
      </c>
    </row>
    <row r="127" spans="1:5" ht="38.25" x14ac:dyDescent="0.25">
      <c r="A127" s="44">
        <v>126</v>
      </c>
      <c r="B127" s="45" t="s">
        <v>476</v>
      </c>
      <c r="C127" s="46" t="s">
        <v>636</v>
      </c>
      <c r="D127" s="48" t="s">
        <v>472</v>
      </c>
      <c r="E127" s="44">
        <v>20230009</v>
      </c>
    </row>
    <row r="128" spans="1:5" ht="25.5" x14ac:dyDescent="0.25">
      <c r="A128" s="44">
        <v>127</v>
      </c>
      <c r="B128" s="45" t="s">
        <v>476</v>
      </c>
      <c r="C128" s="46" t="s">
        <v>637</v>
      </c>
      <c r="D128" s="48" t="s">
        <v>473</v>
      </c>
      <c r="E128" s="44">
        <v>20230009</v>
      </c>
    </row>
    <row r="129" spans="1:5" x14ac:dyDescent="0.25">
      <c r="A129" s="44">
        <v>128</v>
      </c>
      <c r="B129" s="43" t="s">
        <v>476</v>
      </c>
      <c r="C129" s="46" t="s">
        <v>474</v>
      </c>
      <c r="D129" s="48" t="s">
        <v>475</v>
      </c>
      <c r="E129" s="44">
        <v>20230009</v>
      </c>
    </row>
    <row r="130" spans="1:5" ht="51" x14ac:dyDescent="0.25">
      <c r="A130" s="44">
        <v>129</v>
      </c>
      <c r="B130" s="43" t="s">
        <v>594</v>
      </c>
      <c r="C130" s="46" t="s">
        <v>680</v>
      </c>
      <c r="D130" s="48" t="s">
        <v>681</v>
      </c>
      <c r="E130" s="44">
        <v>20230009</v>
      </c>
    </row>
    <row r="131" spans="1:5" x14ac:dyDescent="0.25">
      <c r="A131" s="44">
        <v>130</v>
      </c>
      <c r="B131" s="43" t="s">
        <v>594</v>
      </c>
      <c r="C131" s="46" t="s">
        <v>599</v>
      </c>
      <c r="D131" s="48" t="s">
        <v>418</v>
      </c>
      <c r="E131" s="44">
        <v>10410023</v>
      </c>
    </row>
    <row r="132" spans="1:5" ht="38.25" x14ac:dyDescent="0.25">
      <c r="A132" s="44">
        <v>131</v>
      </c>
      <c r="B132" s="43" t="s">
        <v>594</v>
      </c>
      <c r="C132" s="46" t="s">
        <v>646</v>
      </c>
      <c r="D132" s="48" t="s">
        <v>647</v>
      </c>
      <c r="E132" s="44">
        <v>20230009</v>
      </c>
    </row>
    <row r="133" spans="1:5" ht="38.25" x14ac:dyDescent="0.25">
      <c r="A133" s="44">
        <v>132</v>
      </c>
      <c r="B133" s="45" t="s">
        <v>594</v>
      </c>
      <c r="C133" s="46" t="s">
        <v>682</v>
      </c>
      <c r="D133" s="48" t="s">
        <v>690</v>
      </c>
      <c r="E133" s="44">
        <v>10410023</v>
      </c>
    </row>
    <row r="134" spans="1:5" x14ac:dyDescent="0.25">
      <c r="A134" s="44">
        <v>133</v>
      </c>
      <c r="B134" s="45" t="s">
        <v>596</v>
      </c>
      <c r="C134" s="46" t="s">
        <v>152</v>
      </c>
      <c r="D134" s="48" t="s">
        <v>117</v>
      </c>
      <c r="E134" s="44">
        <v>20230016</v>
      </c>
    </row>
    <row r="135" spans="1:5" ht="25.5" x14ac:dyDescent="0.25">
      <c r="A135" s="44">
        <v>134</v>
      </c>
      <c r="B135" s="45" t="s">
        <v>596</v>
      </c>
      <c r="C135" s="46" t="s">
        <v>153</v>
      </c>
      <c r="D135" s="48" t="s">
        <v>118</v>
      </c>
      <c r="E135" s="44">
        <v>20230016</v>
      </c>
    </row>
    <row r="136" spans="1:5" ht="25.5" x14ac:dyDescent="0.25">
      <c r="A136" s="44">
        <v>135</v>
      </c>
      <c r="B136" s="45" t="s">
        <v>596</v>
      </c>
      <c r="C136" s="46" t="s">
        <v>154</v>
      </c>
      <c r="D136" s="48" t="s">
        <v>119</v>
      </c>
      <c r="E136" s="44">
        <v>20230016</v>
      </c>
    </row>
    <row r="137" spans="1:5" ht="25.5" x14ac:dyDescent="0.25">
      <c r="A137" s="44">
        <v>136</v>
      </c>
      <c r="B137" s="45" t="s">
        <v>596</v>
      </c>
      <c r="C137" s="46" t="s">
        <v>155</v>
      </c>
      <c r="D137" s="48" t="s">
        <v>120</v>
      </c>
      <c r="E137" s="44">
        <v>20230016</v>
      </c>
    </row>
    <row r="138" spans="1:5" ht="25.5" x14ac:dyDescent="0.25">
      <c r="A138" s="44">
        <v>137</v>
      </c>
      <c r="B138" s="45" t="s">
        <v>596</v>
      </c>
      <c r="C138" s="46" t="s">
        <v>156</v>
      </c>
      <c r="D138" s="48" t="s">
        <v>121</v>
      </c>
      <c r="E138" s="44">
        <v>20230016</v>
      </c>
    </row>
    <row r="139" spans="1:5" x14ac:dyDescent="0.25">
      <c r="A139" s="44">
        <v>138</v>
      </c>
      <c r="B139" s="43" t="s">
        <v>596</v>
      </c>
      <c r="C139" s="46" t="s">
        <v>157</v>
      </c>
      <c r="D139" s="48" t="s">
        <v>122</v>
      </c>
      <c r="E139" s="44">
        <v>20230016</v>
      </c>
    </row>
    <row r="140" spans="1:5" ht="25.5" x14ac:dyDescent="0.25">
      <c r="A140" s="44">
        <v>139</v>
      </c>
      <c r="B140" s="43" t="s">
        <v>596</v>
      </c>
      <c r="C140" s="46" t="s">
        <v>158</v>
      </c>
      <c r="D140" s="48" t="s">
        <v>123</v>
      </c>
      <c r="E140" s="44">
        <v>20230016</v>
      </c>
    </row>
    <row r="141" spans="1:5" ht="25.5" x14ac:dyDescent="0.25">
      <c r="A141" s="44">
        <v>140</v>
      </c>
      <c r="B141" s="43" t="s">
        <v>596</v>
      </c>
      <c r="C141" s="46" t="s">
        <v>159</v>
      </c>
      <c r="D141" s="48" t="s">
        <v>124</v>
      </c>
      <c r="E141" s="44">
        <v>20230016</v>
      </c>
    </row>
    <row r="142" spans="1:5" ht="25.5" x14ac:dyDescent="0.25">
      <c r="A142" s="44">
        <v>141</v>
      </c>
      <c r="B142" s="43" t="s">
        <v>596</v>
      </c>
      <c r="C142" s="46" t="s">
        <v>160</v>
      </c>
      <c r="D142" s="48" t="s">
        <v>125</v>
      </c>
      <c r="E142" s="44">
        <v>20230016</v>
      </c>
    </row>
    <row r="143" spans="1:5" ht="25.5" x14ac:dyDescent="0.25">
      <c r="A143" s="44">
        <v>142</v>
      </c>
      <c r="B143" s="43" t="s">
        <v>596</v>
      </c>
      <c r="C143" s="46" t="s">
        <v>161</v>
      </c>
      <c r="D143" s="48" t="s">
        <v>126</v>
      </c>
      <c r="E143" s="44">
        <v>20230016</v>
      </c>
    </row>
    <row r="144" spans="1:5" ht="25.5" x14ac:dyDescent="0.25">
      <c r="A144" s="44">
        <v>143</v>
      </c>
      <c r="B144" s="43" t="s">
        <v>596</v>
      </c>
      <c r="C144" s="46" t="s">
        <v>162</v>
      </c>
      <c r="D144" s="48" t="s">
        <v>127</v>
      </c>
      <c r="E144" s="44">
        <v>20230016</v>
      </c>
    </row>
    <row r="145" spans="1:5" ht="25.5" x14ac:dyDescent="0.25">
      <c r="A145" s="44">
        <v>144</v>
      </c>
      <c r="B145" s="43" t="s">
        <v>596</v>
      </c>
      <c r="C145" s="46" t="s">
        <v>163</v>
      </c>
      <c r="D145" s="48" t="s">
        <v>128</v>
      </c>
      <c r="E145" s="44">
        <v>20230016</v>
      </c>
    </row>
    <row r="146" spans="1:5" x14ac:dyDescent="0.25">
      <c r="A146" s="44">
        <v>145</v>
      </c>
      <c r="B146" s="43" t="s">
        <v>596</v>
      </c>
      <c r="C146" s="46" t="s">
        <v>164</v>
      </c>
      <c r="D146" s="48" t="s">
        <v>129</v>
      </c>
      <c r="E146" s="44">
        <v>20230016</v>
      </c>
    </row>
    <row r="147" spans="1:5" ht="25.5" x14ac:dyDescent="0.25">
      <c r="A147" s="44">
        <v>146</v>
      </c>
      <c r="B147" s="43" t="s">
        <v>596</v>
      </c>
      <c r="C147" s="46" t="s">
        <v>165</v>
      </c>
      <c r="D147" s="48" t="s">
        <v>130</v>
      </c>
      <c r="E147" s="44">
        <v>20230016</v>
      </c>
    </row>
    <row r="148" spans="1:5" ht="25.5" x14ac:dyDescent="0.25">
      <c r="A148" s="44">
        <v>147</v>
      </c>
      <c r="B148" s="43" t="s">
        <v>596</v>
      </c>
      <c r="C148" s="46" t="s">
        <v>166</v>
      </c>
      <c r="D148" s="48" t="s">
        <v>131</v>
      </c>
      <c r="E148" s="44">
        <v>20230016</v>
      </c>
    </row>
    <row r="149" spans="1:5" ht="25.5" x14ac:dyDescent="0.25">
      <c r="A149" s="44">
        <v>148</v>
      </c>
      <c r="B149" s="43" t="s">
        <v>596</v>
      </c>
      <c r="C149" s="46" t="s">
        <v>638</v>
      </c>
      <c r="D149" s="48" t="s">
        <v>132</v>
      </c>
      <c r="E149" s="44">
        <v>20230016</v>
      </c>
    </row>
    <row r="150" spans="1:5" ht="25.5" x14ac:dyDescent="0.25">
      <c r="A150" s="44">
        <v>149</v>
      </c>
      <c r="B150" s="43" t="s">
        <v>597</v>
      </c>
      <c r="C150" s="46" t="s">
        <v>639</v>
      </c>
      <c r="D150" s="48" t="s">
        <v>133</v>
      </c>
      <c r="E150" s="44">
        <v>20230009</v>
      </c>
    </row>
    <row r="151" spans="1:5" ht="25.5" x14ac:dyDescent="0.25">
      <c r="A151" s="44">
        <v>150</v>
      </c>
      <c r="B151" s="43" t="s">
        <v>598</v>
      </c>
      <c r="C151" s="46" t="s">
        <v>662</v>
      </c>
      <c r="D151" s="48" t="s">
        <v>663</v>
      </c>
      <c r="E151" s="44">
        <v>20230009</v>
      </c>
    </row>
    <row r="152" spans="1:5" x14ac:dyDescent="0.25">
      <c r="A152" s="44"/>
      <c r="C152" s="46"/>
      <c r="D152" s="48"/>
    </row>
    <row r="153" spans="1:5" x14ac:dyDescent="0.25">
      <c r="A153" s="44"/>
      <c r="B153" s="49"/>
      <c r="C153" s="50"/>
      <c r="D153" s="51"/>
      <c r="E153" s="52"/>
    </row>
    <row r="154" spans="1:5" x14ac:dyDescent="0.25">
      <c r="A154" s="44"/>
      <c r="C154" s="46"/>
      <c r="D154" s="48"/>
    </row>
    <row r="155" spans="1:5" x14ac:dyDescent="0.25">
      <c r="A155" s="44"/>
      <c r="C155" s="46"/>
      <c r="D155" s="48"/>
    </row>
    <row r="156" spans="1:5" x14ac:dyDescent="0.25">
      <c r="A156" s="44"/>
      <c r="C156" s="46"/>
      <c r="D156" s="48"/>
    </row>
    <row r="157" spans="1:5" x14ac:dyDescent="0.25">
      <c r="A157" s="44"/>
      <c r="C157" s="46"/>
      <c r="D157" s="48"/>
    </row>
    <row r="158" spans="1:5" x14ac:dyDescent="0.25">
      <c r="A158" s="44"/>
      <c r="C158" s="46"/>
      <c r="D158" s="48"/>
    </row>
    <row r="159" spans="1:5" x14ac:dyDescent="0.25">
      <c r="A159" s="44"/>
      <c r="C159" s="46"/>
      <c r="D159" s="48"/>
    </row>
    <row r="160" spans="1:5" x14ac:dyDescent="0.25">
      <c r="C160" s="46"/>
      <c r="D160" s="48"/>
    </row>
    <row r="161" spans="3:4" x14ac:dyDescent="0.25">
      <c r="C161" s="46"/>
      <c r="D161" s="48"/>
    </row>
    <row r="162" spans="3:4" x14ac:dyDescent="0.25">
      <c r="C162" s="46"/>
      <c r="D162" s="48"/>
    </row>
    <row r="163" spans="3:4" x14ac:dyDescent="0.25">
      <c r="C163" s="46"/>
      <c r="D163" s="48"/>
    </row>
    <row r="164" spans="3:4" x14ac:dyDescent="0.25">
      <c r="C164" s="46"/>
      <c r="D164" s="48"/>
    </row>
    <row r="165" spans="3:4" x14ac:dyDescent="0.25">
      <c r="C165" s="46"/>
      <c r="D165" s="48"/>
    </row>
    <row r="166" spans="3:4" x14ac:dyDescent="0.25">
      <c r="C166" s="46"/>
      <c r="D166" s="48"/>
    </row>
    <row r="167" spans="3:4" x14ac:dyDescent="0.25">
      <c r="C167" s="46"/>
      <c r="D167" s="48"/>
    </row>
    <row r="168" spans="3:4" x14ac:dyDescent="0.25">
      <c r="C168" s="46"/>
      <c r="D168" s="48"/>
    </row>
    <row r="169" spans="3:4" x14ac:dyDescent="0.25">
      <c r="C169" s="46"/>
      <c r="D169" s="48"/>
    </row>
    <row r="170" spans="3:4" x14ac:dyDescent="0.25">
      <c r="C170" s="46"/>
      <c r="D170" s="48"/>
    </row>
    <row r="171" spans="3:4" x14ac:dyDescent="0.25">
      <c r="C171" s="46"/>
      <c r="D171" s="48"/>
    </row>
    <row r="172" spans="3:4" x14ac:dyDescent="0.25">
      <c r="C172" s="46"/>
      <c r="D172" s="48"/>
    </row>
    <row r="173" spans="3:4" x14ac:dyDescent="0.25">
      <c r="C173" s="46"/>
      <c r="D173" s="48"/>
    </row>
    <row r="174" spans="3:4" x14ac:dyDescent="0.25">
      <c r="C174" s="46"/>
      <c r="D174" s="48"/>
    </row>
    <row r="175" spans="3:4" x14ac:dyDescent="0.25">
      <c r="C175" s="46"/>
      <c r="D175" s="48"/>
    </row>
    <row r="176" spans="3:4" x14ac:dyDescent="0.25">
      <c r="C176" s="46"/>
      <c r="D176" s="48"/>
    </row>
    <row r="177" spans="3:4" x14ac:dyDescent="0.25">
      <c r="C177" s="46"/>
      <c r="D177" s="48"/>
    </row>
    <row r="178" spans="3:4" x14ac:dyDescent="0.25">
      <c r="C178" s="46"/>
      <c r="D178" s="48"/>
    </row>
    <row r="179" spans="3:4" x14ac:dyDescent="0.25">
      <c r="C179" s="46"/>
      <c r="D179" s="48"/>
    </row>
    <row r="180" spans="3:4" x14ac:dyDescent="0.25">
      <c r="C180" s="46"/>
      <c r="D180" s="48"/>
    </row>
    <row r="181" spans="3:4" x14ac:dyDescent="0.25">
      <c r="C181" s="46"/>
      <c r="D181" s="48"/>
    </row>
    <row r="182" spans="3:4" x14ac:dyDescent="0.25">
      <c r="C182" s="46"/>
      <c r="D182" s="48"/>
    </row>
    <row r="183" spans="3:4" x14ac:dyDescent="0.25">
      <c r="C183" s="46"/>
      <c r="D183" s="48"/>
    </row>
    <row r="184" spans="3:4" x14ac:dyDescent="0.25">
      <c r="C184" s="46"/>
      <c r="D184" s="48"/>
    </row>
    <row r="185" spans="3:4" x14ac:dyDescent="0.25">
      <c r="C185" s="46"/>
      <c r="D185" s="48"/>
    </row>
    <row r="186" spans="3:4" x14ac:dyDescent="0.25">
      <c r="C186" s="46"/>
      <c r="D186" s="48"/>
    </row>
    <row r="187" spans="3:4" x14ac:dyDescent="0.25">
      <c r="C187" s="46"/>
      <c r="D187" s="48"/>
    </row>
    <row r="188" spans="3:4" x14ac:dyDescent="0.25">
      <c r="C188" s="46"/>
      <c r="D188" s="48"/>
    </row>
    <row r="189" spans="3:4" x14ac:dyDescent="0.25">
      <c r="C189" s="46"/>
      <c r="D189" s="48"/>
    </row>
    <row r="190" spans="3:4" x14ac:dyDescent="0.25">
      <c r="C190" s="46"/>
      <c r="D190" s="48"/>
    </row>
    <row r="191" spans="3:4" x14ac:dyDescent="0.25">
      <c r="C191" s="46"/>
      <c r="D191" s="48"/>
    </row>
    <row r="192" spans="3:4" x14ac:dyDescent="0.25">
      <c r="C192" s="46"/>
      <c r="D192" s="48"/>
    </row>
    <row r="193" spans="3:4" x14ac:dyDescent="0.25">
      <c r="C193" s="46"/>
      <c r="D193" s="48"/>
    </row>
    <row r="194" spans="3:4" x14ac:dyDescent="0.25">
      <c r="C194" s="46"/>
      <c r="D194" s="48"/>
    </row>
    <row r="195" spans="3:4" x14ac:dyDescent="0.25">
      <c r="C195" s="46"/>
      <c r="D195" s="48"/>
    </row>
    <row r="196" spans="3:4" x14ac:dyDescent="0.25">
      <c r="C196" s="46"/>
      <c r="D196" s="48"/>
    </row>
    <row r="197" spans="3:4" x14ac:dyDescent="0.25">
      <c r="C197" s="46"/>
      <c r="D197" s="48"/>
    </row>
    <row r="198" spans="3:4" x14ac:dyDescent="0.25">
      <c r="C198" s="46"/>
      <c r="D198" s="53"/>
    </row>
    <row r="199" spans="3:4" x14ac:dyDescent="0.25">
      <c r="C199" s="46"/>
      <c r="D199" s="53"/>
    </row>
    <row r="200" spans="3:4" x14ac:dyDescent="0.25">
      <c r="C200" s="46"/>
      <c r="D200" s="53"/>
    </row>
    <row r="201" spans="3:4" x14ac:dyDescent="0.25">
      <c r="C201" s="46"/>
      <c r="D201" s="48"/>
    </row>
    <row r="202" spans="3:4" x14ac:dyDescent="0.25">
      <c r="C202" s="46"/>
      <c r="D202" s="48"/>
    </row>
    <row r="203" spans="3:4" x14ac:dyDescent="0.25">
      <c r="C203" s="46"/>
      <c r="D203" s="48"/>
    </row>
    <row r="204" spans="3:4" x14ac:dyDescent="0.25">
      <c r="C204" s="46"/>
      <c r="D204" s="48"/>
    </row>
    <row r="205" spans="3:4" x14ac:dyDescent="0.25">
      <c r="C205" s="46"/>
      <c r="D205" s="48"/>
    </row>
    <row r="206" spans="3:4" x14ac:dyDescent="0.25">
      <c r="C206" s="46"/>
      <c r="D206" s="48"/>
    </row>
    <row r="207" spans="3:4" x14ac:dyDescent="0.25">
      <c r="C207" s="46"/>
      <c r="D207" s="48"/>
    </row>
    <row r="208" spans="3:4" x14ac:dyDescent="0.25">
      <c r="C208" s="46"/>
      <c r="D208" s="48"/>
    </row>
    <row r="209" spans="3:4" x14ac:dyDescent="0.25">
      <c r="C209" s="46"/>
      <c r="D209" s="48"/>
    </row>
    <row r="210" spans="3:4" x14ac:dyDescent="0.25">
      <c r="C210" s="46"/>
      <c r="D210" s="48"/>
    </row>
    <row r="211" spans="3:4" x14ac:dyDescent="0.25">
      <c r="C211" s="46"/>
      <c r="D211" s="48"/>
    </row>
    <row r="212" spans="3:4" x14ac:dyDescent="0.25">
      <c r="C212" s="46"/>
      <c r="D212" s="48"/>
    </row>
    <row r="213" spans="3:4" x14ac:dyDescent="0.25">
      <c r="C213" s="46"/>
      <c r="D213" s="48"/>
    </row>
    <row r="214" spans="3:4" x14ac:dyDescent="0.25">
      <c r="C214" s="46"/>
      <c r="D214" s="48"/>
    </row>
    <row r="215" spans="3:4" x14ac:dyDescent="0.25">
      <c r="C215" s="46"/>
      <c r="D215" s="48"/>
    </row>
    <row r="216" spans="3:4" x14ac:dyDescent="0.25">
      <c r="C216" s="46"/>
      <c r="D216" s="48"/>
    </row>
    <row r="217" spans="3:4" x14ac:dyDescent="0.25">
      <c r="C217" s="46"/>
      <c r="D217" s="48"/>
    </row>
    <row r="218" spans="3:4" x14ac:dyDescent="0.25">
      <c r="C218" s="46"/>
      <c r="D218" s="48"/>
    </row>
    <row r="219" spans="3:4" x14ac:dyDescent="0.25">
      <c r="C219" s="46"/>
      <c r="D219" s="48"/>
    </row>
    <row r="220" spans="3:4" x14ac:dyDescent="0.25">
      <c r="C220" s="46"/>
      <c r="D220" s="48"/>
    </row>
    <row r="221" spans="3:4" x14ac:dyDescent="0.25">
      <c r="C221" s="46"/>
      <c r="D221" s="48"/>
    </row>
    <row r="222" spans="3:4" x14ac:dyDescent="0.25">
      <c r="C222" s="46"/>
      <c r="D222" s="48"/>
    </row>
    <row r="223" spans="3:4" x14ac:dyDescent="0.25">
      <c r="C223" s="46"/>
      <c r="D223" s="48"/>
    </row>
    <row r="224" spans="3:4" x14ac:dyDescent="0.25">
      <c r="C224" s="46"/>
      <c r="D224" s="48"/>
    </row>
    <row r="225" spans="3:5" x14ac:dyDescent="0.25">
      <c r="C225" s="46"/>
      <c r="D225" s="48"/>
      <c r="E225" s="54"/>
    </row>
    <row r="226" spans="3:5" x14ac:dyDescent="0.25">
      <c r="C226" s="46"/>
      <c r="D226" s="48"/>
    </row>
    <row r="227" spans="3:5" x14ac:dyDescent="0.25">
      <c r="C227" s="46"/>
      <c r="D227" s="48"/>
    </row>
    <row r="228" spans="3:5" x14ac:dyDescent="0.25">
      <c r="C228" s="46"/>
      <c r="D228" s="48"/>
    </row>
    <row r="229" spans="3:5" x14ac:dyDescent="0.25">
      <c r="C229" s="46"/>
      <c r="D229" s="48"/>
    </row>
    <row r="230" spans="3:5" x14ac:dyDescent="0.25">
      <c r="C230" s="46"/>
      <c r="D230" s="48"/>
    </row>
    <row r="231" spans="3:5" x14ac:dyDescent="0.25">
      <c r="C231" s="46"/>
      <c r="D231" s="48"/>
    </row>
    <row r="232" spans="3:5" x14ac:dyDescent="0.25">
      <c r="C232" s="46"/>
      <c r="D232" s="48"/>
    </row>
    <row r="233" spans="3:5" x14ac:dyDescent="0.25">
      <c r="C233" s="46"/>
      <c r="D233" s="48"/>
    </row>
    <row r="234" spans="3:5" x14ac:dyDescent="0.25">
      <c r="C234" s="46"/>
      <c r="D234" s="48"/>
    </row>
    <row r="235" spans="3:5" x14ac:dyDescent="0.25">
      <c r="C235" s="46"/>
      <c r="D235" s="48"/>
    </row>
    <row r="236" spans="3:5" x14ac:dyDescent="0.25">
      <c r="C236" s="46"/>
      <c r="D236" s="48"/>
    </row>
    <row r="237" spans="3:5" x14ac:dyDescent="0.25">
      <c r="C237" s="46"/>
      <c r="D237" s="48"/>
    </row>
    <row r="238" spans="3:5" x14ac:dyDescent="0.25">
      <c r="C238" s="46"/>
      <c r="D238" s="48"/>
    </row>
    <row r="239" spans="3:5" x14ac:dyDescent="0.25">
      <c r="C239" s="46"/>
      <c r="D239" s="48"/>
    </row>
    <row r="240" spans="3:5" x14ac:dyDescent="0.25">
      <c r="C240" s="46"/>
      <c r="D240" s="48"/>
    </row>
    <row r="241" spans="3:4" x14ac:dyDescent="0.25">
      <c r="C241" s="46"/>
      <c r="D241" s="48"/>
    </row>
    <row r="242" spans="3:4" x14ac:dyDescent="0.25">
      <c r="C242" s="46"/>
      <c r="D242" s="48"/>
    </row>
    <row r="243" spans="3:4" x14ac:dyDescent="0.25">
      <c r="C243" s="46"/>
      <c r="D243" s="48"/>
    </row>
    <row r="244" spans="3:4" x14ac:dyDescent="0.25">
      <c r="C244" s="46"/>
      <c r="D244" s="53"/>
    </row>
    <row r="245" spans="3:4" x14ac:dyDescent="0.25">
      <c r="C245" s="46"/>
      <c r="D245" s="48"/>
    </row>
    <row r="246" spans="3:4" x14ac:dyDescent="0.25">
      <c r="C246" s="44"/>
      <c r="D246" s="54"/>
    </row>
    <row r="247" spans="3:4" x14ac:dyDescent="0.25">
      <c r="C247" s="44"/>
      <c r="D247" s="54"/>
    </row>
    <row r="248" spans="3:4" x14ac:dyDescent="0.25">
      <c r="C248" s="44"/>
      <c r="D248" s="54"/>
    </row>
    <row r="249" spans="3:4" x14ac:dyDescent="0.25">
      <c r="C249" s="44"/>
      <c r="D249" s="54"/>
    </row>
    <row r="250" spans="3:4" x14ac:dyDescent="0.25">
      <c r="C250" s="44"/>
      <c r="D250" s="54"/>
    </row>
    <row r="251" spans="3:4" x14ac:dyDescent="0.25">
      <c r="C251" s="44"/>
      <c r="D251" s="54"/>
    </row>
    <row r="252" spans="3:4" x14ac:dyDescent="0.25">
      <c r="C252" s="44"/>
      <c r="D252" s="54"/>
    </row>
    <row r="253" spans="3:4" x14ac:dyDescent="0.25">
      <c r="C253" s="44"/>
      <c r="D253" s="54"/>
    </row>
    <row r="254" spans="3:4" x14ac:dyDescent="0.25">
      <c r="C254" s="44"/>
      <c r="D254" s="54"/>
    </row>
    <row r="255" spans="3:4" x14ac:dyDescent="0.25">
      <c r="C255" s="44"/>
      <c r="D255" s="54"/>
    </row>
    <row r="256" spans="3:4" x14ac:dyDescent="0.25">
      <c r="C256" s="44"/>
      <c r="D256" s="54"/>
    </row>
    <row r="257" spans="3:4" x14ac:dyDescent="0.25">
      <c r="C257" s="44"/>
      <c r="D257" s="54"/>
    </row>
    <row r="258" spans="3:4" x14ac:dyDescent="0.25">
      <c r="C258" s="44"/>
      <c r="D258" s="54"/>
    </row>
    <row r="259" spans="3:4" x14ac:dyDescent="0.25">
      <c r="C259" s="44"/>
      <c r="D259" s="54"/>
    </row>
    <row r="260" spans="3:4" x14ac:dyDescent="0.25">
      <c r="C260" s="44"/>
      <c r="D260" s="54"/>
    </row>
    <row r="261" spans="3:4" x14ac:dyDescent="0.25">
      <c r="C261" s="44"/>
      <c r="D261" s="54"/>
    </row>
    <row r="262" spans="3:4" x14ac:dyDescent="0.25">
      <c r="C262" s="44"/>
      <c r="D262" s="54"/>
    </row>
    <row r="263" spans="3:4" x14ac:dyDescent="0.25">
      <c r="C263" s="44"/>
      <c r="D263" s="54"/>
    </row>
    <row r="264" spans="3:4" x14ac:dyDescent="0.25">
      <c r="C264" s="44"/>
      <c r="D264" s="54"/>
    </row>
    <row r="265" spans="3:4" x14ac:dyDescent="0.25">
      <c r="C265" s="44"/>
      <c r="D265" s="54"/>
    </row>
    <row r="266" spans="3:4" x14ac:dyDescent="0.25">
      <c r="C266" s="44"/>
      <c r="D266" s="54"/>
    </row>
    <row r="267" spans="3:4" x14ac:dyDescent="0.25">
      <c r="C267" s="44"/>
      <c r="D267" s="54"/>
    </row>
    <row r="268" spans="3:4" x14ac:dyDescent="0.25">
      <c r="C268" s="44"/>
      <c r="D268" s="54"/>
    </row>
    <row r="269" spans="3:4" x14ac:dyDescent="0.25">
      <c r="C269" s="44"/>
      <c r="D269" s="54"/>
    </row>
    <row r="270" spans="3:4" x14ac:dyDescent="0.25">
      <c r="C270" s="44"/>
      <c r="D270" s="54"/>
    </row>
    <row r="271" spans="3:4" x14ac:dyDescent="0.25">
      <c r="C271" s="44"/>
      <c r="D271" s="54"/>
    </row>
    <row r="272" spans="3:4" x14ac:dyDescent="0.25">
      <c r="C272" s="44"/>
      <c r="D272" s="54"/>
    </row>
    <row r="273" spans="3:4" x14ac:dyDescent="0.25">
      <c r="C273" s="44"/>
      <c r="D273" s="54"/>
    </row>
    <row r="274" spans="3:4" x14ac:dyDescent="0.25">
      <c r="C274" s="44"/>
      <c r="D274" s="54"/>
    </row>
    <row r="275" spans="3:4" x14ac:dyDescent="0.25">
      <c r="C275" s="44"/>
      <c r="D275" s="54"/>
    </row>
    <row r="276" spans="3:4" x14ac:dyDescent="0.25">
      <c r="C276" s="44"/>
      <c r="D276" s="54"/>
    </row>
    <row r="277" spans="3:4" x14ac:dyDescent="0.25">
      <c r="C277" s="44"/>
      <c r="D277" s="54"/>
    </row>
    <row r="278" spans="3:4" x14ac:dyDescent="0.25">
      <c r="C278" s="44"/>
      <c r="D278" s="54"/>
    </row>
    <row r="279" spans="3:4" x14ac:dyDescent="0.25">
      <c r="C279" s="44"/>
      <c r="D279" s="54"/>
    </row>
    <row r="280" spans="3:4" x14ac:dyDescent="0.25">
      <c r="C280" s="44"/>
      <c r="D280" s="54"/>
    </row>
    <row r="281" spans="3:4" x14ac:dyDescent="0.25">
      <c r="C281" s="44"/>
      <c r="D281" s="54"/>
    </row>
    <row r="282" spans="3:4" x14ac:dyDescent="0.25">
      <c r="C282" s="44"/>
      <c r="D282" s="54"/>
    </row>
    <row r="283" spans="3:4" x14ac:dyDescent="0.25">
      <c r="C283" s="44"/>
      <c r="D283" s="54"/>
    </row>
    <row r="284" spans="3:4" x14ac:dyDescent="0.25">
      <c r="C284" s="44"/>
      <c r="D284" s="54"/>
    </row>
    <row r="285" spans="3:4" x14ac:dyDescent="0.25">
      <c r="C285" s="44"/>
      <c r="D285" s="54"/>
    </row>
    <row r="286" spans="3:4" x14ac:dyDescent="0.25">
      <c r="C286" s="44"/>
      <c r="D286" s="54"/>
    </row>
    <row r="287" spans="3:4" x14ac:dyDescent="0.25">
      <c r="C287" s="44"/>
      <c r="D287" s="54"/>
    </row>
    <row r="288" spans="3:4" x14ac:dyDescent="0.25">
      <c r="C288" s="44"/>
      <c r="D288" s="54"/>
    </row>
    <row r="289" spans="3:4" x14ac:dyDescent="0.25">
      <c r="C289" s="44"/>
      <c r="D289" s="54"/>
    </row>
    <row r="290" spans="3:4" x14ac:dyDescent="0.25">
      <c r="C290" s="44"/>
      <c r="D290" s="54"/>
    </row>
    <row r="291" spans="3:4" x14ac:dyDescent="0.25">
      <c r="C291" s="44"/>
      <c r="D291" s="54"/>
    </row>
    <row r="292" spans="3:4" x14ac:dyDescent="0.25">
      <c r="C292" s="44"/>
      <c r="D292" s="54"/>
    </row>
    <row r="293" spans="3:4" x14ac:dyDescent="0.25">
      <c r="C293" s="44"/>
      <c r="D293" s="54"/>
    </row>
    <row r="294" spans="3:4" x14ac:dyDescent="0.25">
      <c r="C294" s="44"/>
      <c r="D294" s="54"/>
    </row>
    <row r="295" spans="3:4" x14ac:dyDescent="0.25">
      <c r="C295" s="44"/>
      <c r="D295" s="54"/>
    </row>
    <row r="296" spans="3:4" x14ac:dyDescent="0.25">
      <c r="C296" s="44"/>
      <c r="D296" s="54"/>
    </row>
    <row r="297" spans="3:4" x14ac:dyDescent="0.25">
      <c r="C297" s="44"/>
      <c r="D297" s="54"/>
    </row>
    <row r="298" spans="3:4" x14ac:dyDescent="0.25">
      <c r="C298" s="44"/>
      <c r="D298" s="54"/>
    </row>
    <row r="299" spans="3:4" x14ac:dyDescent="0.25">
      <c r="C299" s="44"/>
      <c r="D299" s="54"/>
    </row>
    <row r="300" spans="3:4" x14ac:dyDescent="0.25">
      <c r="C300" s="44"/>
      <c r="D300" s="54"/>
    </row>
    <row r="301" spans="3:4" x14ac:dyDescent="0.25">
      <c r="C301" s="44"/>
      <c r="D301" s="54"/>
    </row>
    <row r="302" spans="3:4" x14ac:dyDescent="0.25">
      <c r="C302" s="44"/>
      <c r="D302" s="54"/>
    </row>
    <row r="303" spans="3:4" x14ac:dyDescent="0.25">
      <c r="C303" s="44"/>
      <c r="D303" s="54"/>
    </row>
    <row r="304" spans="3:4" x14ac:dyDescent="0.25">
      <c r="C304" s="44"/>
      <c r="D304" s="54"/>
    </row>
    <row r="305" spans="3:4" x14ac:dyDescent="0.25">
      <c r="C305" s="44"/>
      <c r="D305" s="54"/>
    </row>
    <row r="306" spans="3:4" x14ac:dyDescent="0.25">
      <c r="C306" s="44"/>
      <c r="D306" s="54"/>
    </row>
    <row r="307" spans="3:4" x14ac:dyDescent="0.25">
      <c r="C307" s="44"/>
      <c r="D307" s="54"/>
    </row>
    <row r="308" spans="3:4" x14ac:dyDescent="0.25">
      <c r="C308" s="44"/>
      <c r="D308" s="54"/>
    </row>
    <row r="309" spans="3:4" x14ac:dyDescent="0.25">
      <c r="C309" s="44"/>
      <c r="D309" s="54"/>
    </row>
    <row r="310" spans="3:4" x14ac:dyDescent="0.25">
      <c r="C310" s="44"/>
      <c r="D310" s="54"/>
    </row>
    <row r="311" spans="3:4" x14ac:dyDescent="0.25">
      <c r="C311" s="44"/>
      <c r="D311" s="54"/>
    </row>
    <row r="312" spans="3:4" x14ac:dyDescent="0.25">
      <c r="C312" s="44"/>
      <c r="D312" s="54"/>
    </row>
    <row r="313" spans="3:4" x14ac:dyDescent="0.25">
      <c r="C313" s="44"/>
      <c r="D313" s="54"/>
    </row>
    <row r="314" spans="3:4" x14ac:dyDescent="0.25">
      <c r="C314" s="44"/>
      <c r="D314" s="54"/>
    </row>
    <row r="315" spans="3:4" x14ac:dyDescent="0.25">
      <c r="C315" s="44"/>
      <c r="D315" s="54"/>
    </row>
    <row r="316" spans="3:4" x14ac:dyDescent="0.25">
      <c r="C316" s="44"/>
      <c r="D316" s="54"/>
    </row>
    <row r="317" spans="3:4" x14ac:dyDescent="0.25">
      <c r="C317" s="44"/>
      <c r="D317" s="54"/>
    </row>
    <row r="318" spans="3:4" x14ac:dyDescent="0.25">
      <c r="C318" s="44"/>
      <c r="D318" s="54"/>
    </row>
    <row r="319" spans="3:4" x14ac:dyDescent="0.25">
      <c r="C319" s="44"/>
      <c r="D319" s="54"/>
    </row>
    <row r="320" spans="3:4" x14ac:dyDescent="0.25">
      <c r="C320" s="44"/>
      <c r="D320" s="54"/>
    </row>
    <row r="321" spans="3:4" x14ac:dyDescent="0.25">
      <c r="C321" s="44"/>
      <c r="D321" s="54"/>
    </row>
    <row r="322" spans="3:4" x14ac:dyDescent="0.25">
      <c r="C322" s="44"/>
      <c r="D322" s="54"/>
    </row>
    <row r="323" spans="3:4" x14ac:dyDescent="0.25">
      <c r="C323" s="44"/>
      <c r="D323" s="54"/>
    </row>
    <row r="324" spans="3:4" x14ac:dyDescent="0.25">
      <c r="C324" s="44"/>
      <c r="D324" s="54"/>
    </row>
    <row r="325" spans="3:4" x14ac:dyDescent="0.25">
      <c r="C325" s="44"/>
      <c r="D325" s="54"/>
    </row>
    <row r="326" spans="3:4" x14ac:dyDescent="0.25">
      <c r="C326" s="44"/>
      <c r="D326" s="54"/>
    </row>
    <row r="327" spans="3:4" x14ac:dyDescent="0.25">
      <c r="C327" s="44"/>
      <c r="D327" s="54"/>
    </row>
    <row r="328" spans="3:4" x14ac:dyDescent="0.25">
      <c r="C328" s="44"/>
      <c r="D328" s="54"/>
    </row>
    <row r="329" spans="3:4" x14ac:dyDescent="0.25">
      <c r="C329" s="44"/>
      <c r="D329" s="54"/>
    </row>
    <row r="330" spans="3:4" x14ac:dyDescent="0.25">
      <c r="C330" s="44"/>
      <c r="D330" s="54"/>
    </row>
    <row r="331" spans="3:4" x14ac:dyDescent="0.25">
      <c r="C331" s="44"/>
      <c r="D331" s="54"/>
    </row>
    <row r="332" spans="3:4" x14ac:dyDescent="0.25">
      <c r="C332" s="44"/>
      <c r="D332" s="54"/>
    </row>
    <row r="333" spans="3:4" x14ac:dyDescent="0.25">
      <c r="C333" s="44"/>
      <c r="D333" s="54"/>
    </row>
    <row r="334" spans="3:4" x14ac:dyDescent="0.25">
      <c r="C334" s="44"/>
      <c r="D334" s="54"/>
    </row>
    <row r="335" spans="3:4" x14ac:dyDescent="0.25">
      <c r="C335" s="44"/>
      <c r="D335" s="54"/>
    </row>
    <row r="336" spans="3:4" x14ac:dyDescent="0.25">
      <c r="C336" s="44"/>
      <c r="D336" s="54"/>
    </row>
    <row r="337" spans="3:4" x14ac:dyDescent="0.25">
      <c r="C337" s="44"/>
      <c r="D337" s="54"/>
    </row>
    <row r="338" spans="3:4" x14ac:dyDescent="0.25">
      <c r="C338" s="44"/>
      <c r="D338" s="54"/>
    </row>
    <row r="339" spans="3:4" x14ac:dyDescent="0.25">
      <c r="C339" s="44"/>
      <c r="D339" s="54"/>
    </row>
    <row r="340" spans="3:4" x14ac:dyDescent="0.25">
      <c r="C340" s="44"/>
      <c r="D340" s="54"/>
    </row>
    <row r="341" spans="3:4" x14ac:dyDescent="0.25">
      <c r="C341" s="44"/>
      <c r="D341" s="54"/>
    </row>
    <row r="342" spans="3:4" x14ac:dyDescent="0.25">
      <c r="C342" s="44"/>
      <c r="D342" s="54"/>
    </row>
    <row r="343" spans="3:4" x14ac:dyDescent="0.25">
      <c r="C343" s="44"/>
      <c r="D343" s="54"/>
    </row>
    <row r="344" spans="3:4" x14ac:dyDescent="0.25">
      <c r="C344" s="44"/>
      <c r="D344" s="54"/>
    </row>
    <row r="345" spans="3:4" x14ac:dyDescent="0.25">
      <c r="C345" s="44"/>
      <c r="D345" s="54"/>
    </row>
    <row r="346" spans="3:4" x14ac:dyDescent="0.25">
      <c r="C346" s="44"/>
      <c r="D346" s="54"/>
    </row>
    <row r="347" spans="3:4" x14ac:dyDescent="0.25">
      <c r="C347" s="44"/>
      <c r="D347" s="54"/>
    </row>
    <row r="348" spans="3:4" x14ac:dyDescent="0.25">
      <c r="C348" s="44"/>
      <c r="D348" s="54"/>
    </row>
    <row r="349" spans="3:4" x14ac:dyDescent="0.25">
      <c r="C349" s="44"/>
      <c r="D349" s="54"/>
    </row>
    <row r="350" spans="3:4" x14ac:dyDescent="0.25">
      <c r="C350" s="44"/>
      <c r="D350" s="54"/>
    </row>
    <row r="351" spans="3:4" x14ac:dyDescent="0.25">
      <c r="C351" s="44"/>
      <c r="D351" s="54"/>
    </row>
    <row r="352" spans="3:4" x14ac:dyDescent="0.25">
      <c r="C352" s="44"/>
      <c r="D352" s="54"/>
    </row>
    <row r="353" spans="3:4" x14ac:dyDescent="0.25">
      <c r="C353" s="44"/>
      <c r="D353" s="54"/>
    </row>
    <row r="354" spans="3:4" x14ac:dyDescent="0.25">
      <c r="C354" s="44"/>
      <c r="D354" s="54"/>
    </row>
    <row r="355" spans="3:4" x14ac:dyDescent="0.25">
      <c r="C355" s="44"/>
      <c r="D355" s="54"/>
    </row>
    <row r="356" spans="3:4" x14ac:dyDescent="0.25">
      <c r="C356" s="44"/>
      <c r="D356" s="54"/>
    </row>
    <row r="357" spans="3:4" x14ac:dyDescent="0.25">
      <c r="C357" s="44"/>
      <c r="D357" s="54"/>
    </row>
    <row r="358" spans="3:4" x14ac:dyDescent="0.25">
      <c r="C358" s="44"/>
      <c r="D358" s="54"/>
    </row>
    <row r="359" spans="3:4" x14ac:dyDescent="0.25">
      <c r="C359" s="44"/>
      <c r="D359" s="54"/>
    </row>
    <row r="360" spans="3:4" x14ac:dyDescent="0.25">
      <c r="C360" s="44"/>
      <c r="D360" s="54"/>
    </row>
    <row r="361" spans="3:4" x14ac:dyDescent="0.25">
      <c r="C361" s="44"/>
      <c r="D361" s="54"/>
    </row>
    <row r="362" spans="3:4" x14ac:dyDescent="0.25">
      <c r="C362" s="44"/>
      <c r="D362" s="54"/>
    </row>
    <row r="363" spans="3:4" x14ac:dyDescent="0.25">
      <c r="C363" s="44"/>
      <c r="D363" s="54"/>
    </row>
    <row r="364" spans="3:4" x14ac:dyDescent="0.25">
      <c r="C364" s="44"/>
      <c r="D364" s="54"/>
    </row>
    <row r="365" spans="3:4" x14ac:dyDescent="0.25">
      <c r="C365" s="44"/>
      <c r="D365" s="54"/>
    </row>
    <row r="366" spans="3:4" x14ac:dyDescent="0.25">
      <c r="C366" s="44"/>
      <c r="D366" s="54"/>
    </row>
    <row r="367" spans="3:4" x14ac:dyDescent="0.25">
      <c r="C367" s="44"/>
      <c r="D367" s="54"/>
    </row>
    <row r="368" spans="3:4" x14ac:dyDescent="0.25">
      <c r="C368" s="44"/>
      <c r="D368" s="54"/>
    </row>
    <row r="369" spans="3:4" x14ac:dyDescent="0.25">
      <c r="C369" s="44"/>
      <c r="D369" s="54"/>
    </row>
    <row r="370" spans="3:4" x14ac:dyDescent="0.25">
      <c r="C370" s="44"/>
      <c r="D370" s="54"/>
    </row>
    <row r="371" spans="3:4" x14ac:dyDescent="0.25">
      <c r="C371" s="44"/>
      <c r="D371" s="54"/>
    </row>
    <row r="372" spans="3:4" x14ac:dyDescent="0.25">
      <c r="C372" s="44"/>
      <c r="D372" s="54"/>
    </row>
    <row r="373" spans="3:4" x14ac:dyDescent="0.25">
      <c r="C373" s="44"/>
      <c r="D373" s="54"/>
    </row>
    <row r="374" spans="3:4" x14ac:dyDescent="0.25">
      <c r="C374" s="44"/>
      <c r="D374" s="54"/>
    </row>
    <row r="375" spans="3:4" x14ac:dyDescent="0.25">
      <c r="C375" s="44"/>
      <c r="D375" s="54"/>
    </row>
    <row r="376" spans="3:4" x14ac:dyDescent="0.25">
      <c r="C376" s="44"/>
      <c r="D376" s="54"/>
    </row>
    <row r="377" spans="3:4" x14ac:dyDescent="0.25">
      <c r="C377" s="44"/>
      <c r="D377" s="54"/>
    </row>
    <row r="378" spans="3:4" x14ac:dyDescent="0.25">
      <c r="C378" s="44"/>
      <c r="D378" s="54"/>
    </row>
    <row r="379" spans="3:4" x14ac:dyDescent="0.25">
      <c r="C379" s="44"/>
      <c r="D379" s="54"/>
    </row>
    <row r="380" spans="3:4" x14ac:dyDescent="0.25">
      <c r="C380" s="44"/>
      <c r="D380" s="54"/>
    </row>
    <row r="381" spans="3:4" x14ac:dyDescent="0.25">
      <c r="C381" s="44"/>
      <c r="D381" s="54"/>
    </row>
    <row r="382" spans="3:4" x14ac:dyDescent="0.25">
      <c r="C382" s="44"/>
      <c r="D382" s="54"/>
    </row>
    <row r="383" spans="3:4" x14ac:dyDescent="0.25">
      <c r="C383" s="44"/>
      <c r="D383" s="54"/>
    </row>
    <row r="384" spans="3:4" x14ac:dyDescent="0.25">
      <c r="C384" s="44"/>
      <c r="D384" s="54"/>
    </row>
    <row r="385" spans="3:4" x14ac:dyDescent="0.25">
      <c r="C385" s="44"/>
      <c r="D385" s="54"/>
    </row>
    <row r="386" spans="3:4" x14ac:dyDescent="0.25">
      <c r="C386" s="44"/>
      <c r="D386" s="54"/>
    </row>
    <row r="387" spans="3:4" x14ac:dyDescent="0.25">
      <c r="C387" s="44"/>
      <c r="D387" s="54"/>
    </row>
    <row r="388" spans="3:4" x14ac:dyDescent="0.25">
      <c r="C388" s="44"/>
      <c r="D388" s="54"/>
    </row>
    <row r="389" spans="3:4" x14ac:dyDescent="0.25">
      <c r="C389" s="44"/>
      <c r="D389" s="54"/>
    </row>
    <row r="390" spans="3:4" x14ac:dyDescent="0.25">
      <c r="C390" s="44"/>
      <c r="D390" s="54"/>
    </row>
    <row r="391" spans="3:4" x14ac:dyDescent="0.25">
      <c r="C391" s="44"/>
      <c r="D391" s="54"/>
    </row>
    <row r="392" spans="3:4" x14ac:dyDescent="0.25">
      <c r="C392" s="44"/>
      <c r="D392" s="54"/>
    </row>
    <row r="393" spans="3:4" x14ac:dyDescent="0.25">
      <c r="C393" s="44"/>
      <c r="D393" s="54"/>
    </row>
    <row r="394" spans="3:4" x14ac:dyDescent="0.25">
      <c r="C394" s="44"/>
      <c r="D394" s="54"/>
    </row>
    <row r="395" spans="3:4" x14ac:dyDescent="0.25">
      <c r="C395" s="44"/>
      <c r="D395" s="54"/>
    </row>
    <row r="396" spans="3:4" x14ac:dyDescent="0.25">
      <c r="C396" s="44"/>
      <c r="D396" s="54"/>
    </row>
    <row r="397" spans="3:4" x14ac:dyDescent="0.25">
      <c r="C397" s="44"/>
      <c r="D397" s="54"/>
    </row>
    <row r="398" spans="3:4" x14ac:dyDescent="0.25">
      <c r="C398" s="44"/>
      <c r="D398" s="54"/>
    </row>
    <row r="399" spans="3:4" x14ac:dyDescent="0.25">
      <c r="C399" s="44"/>
      <c r="D399" s="54"/>
    </row>
    <row r="400" spans="3:4" x14ac:dyDescent="0.25">
      <c r="C400" s="44"/>
      <c r="D400" s="54"/>
    </row>
    <row r="401" spans="3:4" x14ac:dyDescent="0.25">
      <c r="C401" s="44"/>
      <c r="D401" s="54"/>
    </row>
    <row r="402" spans="3:4" x14ac:dyDescent="0.25">
      <c r="C402" s="44"/>
      <c r="D402" s="54"/>
    </row>
    <row r="403" spans="3:4" x14ac:dyDescent="0.25">
      <c r="C403" s="44"/>
      <c r="D403" s="54"/>
    </row>
    <row r="404" spans="3:4" x14ac:dyDescent="0.25">
      <c r="C404" s="44"/>
      <c r="D404" s="54"/>
    </row>
    <row r="405" spans="3:4" x14ac:dyDescent="0.25">
      <c r="C405" s="44"/>
      <c r="D405" s="54"/>
    </row>
    <row r="406" spans="3:4" x14ac:dyDescent="0.25">
      <c r="C406" s="44"/>
      <c r="D406" s="54"/>
    </row>
    <row r="407" spans="3:4" x14ac:dyDescent="0.25">
      <c r="C407" s="44"/>
      <c r="D407" s="54"/>
    </row>
    <row r="408" spans="3:4" x14ac:dyDescent="0.25">
      <c r="C408" s="44"/>
      <c r="D408" s="54"/>
    </row>
    <row r="409" spans="3:4" x14ac:dyDescent="0.25">
      <c r="C409" s="44"/>
      <c r="D409" s="54"/>
    </row>
    <row r="410" spans="3:4" x14ac:dyDescent="0.25">
      <c r="C410" s="44"/>
      <c r="D410" s="54"/>
    </row>
    <row r="411" spans="3:4" x14ac:dyDescent="0.25">
      <c r="C411" s="44"/>
      <c r="D411" s="54"/>
    </row>
    <row r="412" spans="3:4" x14ac:dyDescent="0.25">
      <c r="C412" s="44"/>
      <c r="D412" s="54"/>
    </row>
    <row r="413" spans="3:4" x14ac:dyDescent="0.25">
      <c r="C413" s="44"/>
      <c r="D413" s="54"/>
    </row>
    <row r="414" spans="3:4" x14ac:dyDescent="0.25">
      <c r="C414" s="44"/>
      <c r="D414" s="54"/>
    </row>
    <row r="415" spans="3:4" x14ac:dyDescent="0.25">
      <c r="C415" s="44"/>
      <c r="D415" s="54"/>
    </row>
    <row r="416" spans="3:4" x14ac:dyDescent="0.25">
      <c r="C416" s="44"/>
      <c r="D416" s="54"/>
    </row>
    <row r="417" spans="3:4" x14ac:dyDescent="0.25">
      <c r="C417" s="44"/>
      <c r="D417" s="54"/>
    </row>
    <row r="418" spans="3:4" x14ac:dyDescent="0.25">
      <c r="C418" s="44"/>
      <c r="D418" s="54"/>
    </row>
    <row r="419" spans="3:4" x14ac:dyDescent="0.25">
      <c r="C419" s="44"/>
      <c r="D419" s="54"/>
    </row>
    <row r="420" spans="3:4" x14ac:dyDescent="0.25">
      <c r="C420" s="44"/>
      <c r="D420" s="54"/>
    </row>
    <row r="421" spans="3:4" x14ac:dyDescent="0.25">
      <c r="C421" s="44"/>
      <c r="D421" s="54"/>
    </row>
    <row r="422" spans="3:4" x14ac:dyDescent="0.25">
      <c r="C422" s="44"/>
      <c r="D422" s="54"/>
    </row>
    <row r="423" spans="3:4" x14ac:dyDescent="0.25">
      <c r="C423" s="44"/>
      <c r="D423" s="54"/>
    </row>
    <row r="424" spans="3:4" x14ac:dyDescent="0.25">
      <c r="C424" s="44"/>
      <c r="D424" s="54"/>
    </row>
    <row r="425" spans="3:4" x14ac:dyDescent="0.25">
      <c r="C425" s="44"/>
      <c r="D425" s="54"/>
    </row>
    <row r="426" spans="3:4" x14ac:dyDescent="0.25">
      <c r="C426" s="44"/>
      <c r="D426" s="54"/>
    </row>
    <row r="427" spans="3:4" x14ac:dyDescent="0.25">
      <c r="C427" s="44"/>
      <c r="D427" s="54"/>
    </row>
    <row r="428" spans="3:4" x14ac:dyDescent="0.25">
      <c r="C428" s="44"/>
      <c r="D428" s="54"/>
    </row>
    <row r="429" spans="3:4" x14ac:dyDescent="0.25">
      <c r="C429" s="44"/>
      <c r="D429" s="54"/>
    </row>
    <row r="430" spans="3:4" x14ac:dyDescent="0.25">
      <c r="C430" s="44"/>
      <c r="D430" s="54"/>
    </row>
    <row r="431" spans="3:4" x14ac:dyDescent="0.25">
      <c r="C431" s="44"/>
      <c r="D431" s="54"/>
    </row>
    <row r="432" spans="3:4" x14ac:dyDescent="0.25">
      <c r="C432" s="44"/>
      <c r="D432" s="54"/>
    </row>
    <row r="433" spans="3:4" x14ac:dyDescent="0.25">
      <c r="C433" s="44"/>
      <c r="D433" s="54"/>
    </row>
    <row r="434" spans="3:4" x14ac:dyDescent="0.25">
      <c r="C434" s="44"/>
      <c r="D434" s="54"/>
    </row>
    <row r="435" spans="3:4" x14ac:dyDescent="0.25">
      <c r="C435" s="44"/>
      <c r="D435" s="54"/>
    </row>
    <row r="436" spans="3:4" x14ac:dyDescent="0.25">
      <c r="C436" s="44"/>
      <c r="D436" s="54"/>
    </row>
    <row r="437" spans="3:4" x14ac:dyDescent="0.25">
      <c r="C437" s="44"/>
      <c r="D437" s="54"/>
    </row>
    <row r="438" spans="3:4" x14ac:dyDescent="0.25">
      <c r="C438" s="44"/>
      <c r="D438" s="54"/>
    </row>
    <row r="439" spans="3:4" x14ac:dyDescent="0.25">
      <c r="C439" s="44"/>
      <c r="D439" s="54"/>
    </row>
    <row r="440" spans="3:4" x14ac:dyDescent="0.25">
      <c r="C440" s="44"/>
      <c r="D440" s="54"/>
    </row>
    <row r="441" spans="3:4" x14ac:dyDescent="0.25">
      <c r="C441" s="44"/>
      <c r="D441" s="54"/>
    </row>
    <row r="442" spans="3:4" x14ac:dyDescent="0.25">
      <c r="C442" s="44"/>
      <c r="D442" s="54"/>
    </row>
    <row r="443" spans="3:4" x14ac:dyDescent="0.25">
      <c r="C443" s="44"/>
      <c r="D443" s="54"/>
    </row>
    <row r="444" spans="3:4" x14ac:dyDescent="0.25">
      <c r="C444" s="44"/>
      <c r="D444" s="54"/>
    </row>
    <row r="445" spans="3:4" x14ac:dyDescent="0.25">
      <c r="C445" s="44"/>
      <c r="D445" s="54"/>
    </row>
    <row r="446" spans="3:4" x14ac:dyDescent="0.25">
      <c r="C446" s="44"/>
      <c r="D446" s="54"/>
    </row>
    <row r="447" spans="3:4" x14ac:dyDescent="0.25">
      <c r="C447" s="44"/>
      <c r="D447" s="54"/>
    </row>
    <row r="448" spans="3:4" x14ac:dyDescent="0.25">
      <c r="C448" s="44"/>
      <c r="D448" s="54"/>
    </row>
    <row r="449" spans="3:4" x14ac:dyDescent="0.25">
      <c r="C449" s="44"/>
      <c r="D449" s="54"/>
    </row>
    <row r="450" spans="3:4" x14ac:dyDescent="0.25">
      <c r="C450" s="44"/>
      <c r="D450" s="54"/>
    </row>
    <row r="451" spans="3:4" x14ac:dyDescent="0.25">
      <c r="C451" s="44"/>
      <c r="D451" s="54"/>
    </row>
    <row r="452" spans="3:4" x14ac:dyDescent="0.25">
      <c r="C452" s="44"/>
      <c r="D452" s="54"/>
    </row>
    <row r="453" spans="3:4" x14ac:dyDescent="0.25">
      <c r="C453" s="44"/>
      <c r="D453" s="54"/>
    </row>
    <row r="454" spans="3:4" x14ac:dyDescent="0.25">
      <c r="C454" s="44"/>
      <c r="D454" s="54"/>
    </row>
    <row r="455" spans="3:4" x14ac:dyDescent="0.25">
      <c r="C455" s="44"/>
      <c r="D455" s="54"/>
    </row>
    <row r="456" spans="3:4" x14ac:dyDescent="0.25">
      <c r="C456" s="44"/>
      <c r="D456" s="54"/>
    </row>
    <row r="457" spans="3:4" x14ac:dyDescent="0.25">
      <c r="C457" s="44"/>
      <c r="D457" s="54"/>
    </row>
    <row r="458" spans="3:4" x14ac:dyDescent="0.25">
      <c r="C458" s="44"/>
      <c r="D458" s="54"/>
    </row>
    <row r="459" spans="3:4" x14ac:dyDescent="0.25">
      <c r="C459" s="44"/>
      <c r="D459" s="54"/>
    </row>
    <row r="460" spans="3:4" x14ac:dyDescent="0.25">
      <c r="C460" s="44"/>
      <c r="D460" s="54"/>
    </row>
    <row r="461" spans="3:4" x14ac:dyDescent="0.25">
      <c r="C461" s="44"/>
      <c r="D461" s="54"/>
    </row>
    <row r="462" spans="3:4" x14ac:dyDescent="0.25">
      <c r="C462" s="44"/>
      <c r="D462" s="54"/>
    </row>
    <row r="463" spans="3:4" x14ac:dyDescent="0.25">
      <c r="C463" s="44"/>
      <c r="D463" s="54"/>
    </row>
    <row r="464" spans="3:4" x14ac:dyDescent="0.25">
      <c r="C464" s="44"/>
      <c r="D464" s="54"/>
    </row>
    <row r="465" spans="3:4" x14ac:dyDescent="0.25">
      <c r="C465" s="44"/>
      <c r="D465" s="54"/>
    </row>
    <row r="466" spans="3:4" x14ac:dyDescent="0.25">
      <c r="C466" s="44"/>
      <c r="D466" s="54"/>
    </row>
    <row r="467" spans="3:4" x14ac:dyDescent="0.25">
      <c r="C467" s="44"/>
      <c r="D467" s="54"/>
    </row>
    <row r="468" spans="3:4" x14ac:dyDescent="0.25">
      <c r="C468" s="44"/>
      <c r="D468" s="54"/>
    </row>
    <row r="469" spans="3:4" x14ac:dyDescent="0.25">
      <c r="C469" s="44"/>
      <c r="D469" s="54"/>
    </row>
    <row r="470" spans="3:4" x14ac:dyDescent="0.25">
      <c r="C470" s="44"/>
      <c r="D470" s="54"/>
    </row>
    <row r="471" spans="3:4" x14ac:dyDescent="0.25">
      <c r="C471" s="44"/>
      <c r="D471" s="54"/>
    </row>
    <row r="472" spans="3:4" x14ac:dyDescent="0.25">
      <c r="C472" s="44"/>
      <c r="D472" s="54"/>
    </row>
    <row r="473" spans="3:4" x14ac:dyDescent="0.25">
      <c r="C473" s="44"/>
      <c r="D473" s="54"/>
    </row>
    <row r="474" spans="3:4" x14ac:dyDescent="0.25">
      <c r="C474" s="44"/>
      <c r="D474" s="54"/>
    </row>
    <row r="475" spans="3:4" x14ac:dyDescent="0.25">
      <c r="C475" s="44"/>
      <c r="D475" s="54"/>
    </row>
    <row r="476" spans="3:4" x14ac:dyDescent="0.25">
      <c r="C476" s="44"/>
      <c r="D476" s="54"/>
    </row>
    <row r="477" spans="3:4" x14ac:dyDescent="0.25">
      <c r="C477" s="44"/>
      <c r="D477" s="54"/>
    </row>
    <row r="478" spans="3:4" x14ac:dyDescent="0.25">
      <c r="C478" s="44"/>
      <c r="D478" s="54"/>
    </row>
    <row r="479" spans="3:4" x14ac:dyDescent="0.25">
      <c r="C479" s="44"/>
      <c r="D479" s="54"/>
    </row>
    <row r="480" spans="3:4" x14ac:dyDescent="0.25">
      <c r="C480" s="44"/>
      <c r="D480" s="54"/>
    </row>
    <row r="481" spans="3:4" x14ac:dyDescent="0.25">
      <c r="C481" s="44"/>
      <c r="D481" s="54"/>
    </row>
    <row r="482" spans="3:4" x14ac:dyDescent="0.25">
      <c r="C482" s="44"/>
      <c r="D482" s="54"/>
    </row>
    <row r="483" spans="3:4" x14ac:dyDescent="0.25">
      <c r="C483" s="44"/>
      <c r="D483" s="54"/>
    </row>
    <row r="484" spans="3:4" x14ac:dyDescent="0.25">
      <c r="C484" s="44"/>
      <c r="D484" s="54"/>
    </row>
    <row r="485" spans="3:4" x14ac:dyDescent="0.25">
      <c r="C485" s="44"/>
      <c r="D485" s="54"/>
    </row>
    <row r="486" spans="3:4" x14ac:dyDescent="0.25">
      <c r="C486" s="44"/>
      <c r="D486" s="54"/>
    </row>
    <row r="487" spans="3:4" x14ac:dyDescent="0.25">
      <c r="C487" s="44"/>
      <c r="D487" s="54"/>
    </row>
    <row r="488" spans="3:4" x14ac:dyDescent="0.25">
      <c r="C488" s="44"/>
      <c r="D488" s="54"/>
    </row>
    <row r="489" spans="3:4" x14ac:dyDescent="0.25">
      <c r="C489" s="44"/>
      <c r="D489" s="54"/>
    </row>
    <row r="490" spans="3:4" x14ac:dyDescent="0.25">
      <c r="C490" s="44"/>
      <c r="D490" s="54"/>
    </row>
    <row r="491" spans="3:4" x14ac:dyDescent="0.25">
      <c r="C491" s="44"/>
      <c r="D491" s="54"/>
    </row>
    <row r="492" spans="3:4" x14ac:dyDescent="0.25">
      <c r="C492" s="44"/>
      <c r="D492" s="54"/>
    </row>
    <row r="493" spans="3:4" x14ac:dyDescent="0.25">
      <c r="C493" s="44"/>
      <c r="D493" s="54"/>
    </row>
    <row r="494" spans="3:4" x14ac:dyDescent="0.25">
      <c r="C494" s="44"/>
      <c r="D494" s="54"/>
    </row>
    <row r="495" spans="3:4" x14ac:dyDescent="0.25">
      <c r="C495" s="44"/>
      <c r="D495" s="54"/>
    </row>
    <row r="496" spans="3:4" x14ac:dyDescent="0.25">
      <c r="C496" s="44"/>
      <c r="D496" s="54"/>
    </row>
    <row r="497" spans="3:4" x14ac:dyDescent="0.25">
      <c r="C497" s="44"/>
      <c r="D497" s="54"/>
    </row>
    <row r="498" spans="3:4" x14ac:dyDescent="0.25">
      <c r="C498" s="44"/>
      <c r="D498" s="54"/>
    </row>
    <row r="499" spans="3:4" x14ac:dyDescent="0.25">
      <c r="C499" s="44"/>
      <c r="D499" s="54"/>
    </row>
    <row r="500" spans="3:4" x14ac:dyDescent="0.25">
      <c r="C500" s="44"/>
      <c r="D500" s="54"/>
    </row>
    <row r="501" spans="3:4" x14ac:dyDescent="0.25">
      <c r="C501" s="44"/>
      <c r="D501" s="54"/>
    </row>
    <row r="502" spans="3:4" x14ac:dyDescent="0.25">
      <c r="C502" s="44"/>
      <c r="D502" s="54"/>
    </row>
    <row r="503" spans="3:4" x14ac:dyDescent="0.25">
      <c r="C503" s="44"/>
      <c r="D503" s="54"/>
    </row>
    <row r="504" spans="3:4" x14ac:dyDescent="0.25">
      <c r="C504" s="44"/>
      <c r="D504" s="54"/>
    </row>
    <row r="505" spans="3:4" x14ac:dyDescent="0.25">
      <c r="C505" s="44"/>
      <c r="D505" s="54"/>
    </row>
    <row r="506" spans="3:4" x14ac:dyDescent="0.25">
      <c r="C506" s="44"/>
      <c r="D506" s="54"/>
    </row>
    <row r="507" spans="3:4" x14ac:dyDescent="0.25">
      <c r="C507" s="44"/>
      <c r="D507" s="54"/>
    </row>
    <row r="508" spans="3:4" x14ac:dyDescent="0.25">
      <c r="C508" s="44"/>
      <c r="D508" s="54"/>
    </row>
    <row r="509" spans="3:4" x14ac:dyDescent="0.25">
      <c r="C509" s="44"/>
      <c r="D509" s="54"/>
    </row>
    <row r="510" spans="3:4" x14ac:dyDescent="0.25">
      <c r="C510" s="44"/>
      <c r="D510" s="54"/>
    </row>
    <row r="511" spans="3:4" x14ac:dyDescent="0.25">
      <c r="C511" s="44"/>
      <c r="D511" s="54"/>
    </row>
    <row r="512" spans="3:4" x14ac:dyDescent="0.25">
      <c r="C512" s="44"/>
      <c r="D512" s="54"/>
    </row>
    <row r="513" spans="3:4" x14ac:dyDescent="0.25">
      <c r="C513" s="44"/>
      <c r="D513" s="54"/>
    </row>
    <row r="514" spans="3:4" x14ac:dyDescent="0.25">
      <c r="C514" s="44"/>
      <c r="D514" s="54"/>
    </row>
    <row r="515" spans="3:4" x14ac:dyDescent="0.25">
      <c r="C515" s="44"/>
      <c r="D515" s="54"/>
    </row>
    <row r="516" spans="3:4" x14ac:dyDescent="0.25">
      <c r="C516" s="44"/>
      <c r="D516" s="54"/>
    </row>
    <row r="517" spans="3:4" x14ac:dyDescent="0.25">
      <c r="C517" s="44"/>
      <c r="D517" s="54"/>
    </row>
    <row r="518" spans="3:4" x14ac:dyDescent="0.25">
      <c r="C518" s="44"/>
      <c r="D518" s="54"/>
    </row>
    <row r="519" spans="3:4" x14ac:dyDescent="0.25">
      <c r="C519" s="44"/>
      <c r="D519" s="54"/>
    </row>
    <row r="520" spans="3:4" x14ac:dyDescent="0.25">
      <c r="C520" s="44"/>
      <c r="D520" s="54"/>
    </row>
    <row r="521" spans="3:4" x14ac:dyDescent="0.25">
      <c r="C521" s="44"/>
      <c r="D521" s="54"/>
    </row>
    <row r="522" spans="3:4" x14ac:dyDescent="0.25">
      <c r="C522" s="44"/>
      <c r="D522" s="54"/>
    </row>
    <row r="523" spans="3:4" x14ac:dyDescent="0.25">
      <c r="C523" s="44"/>
      <c r="D523" s="54"/>
    </row>
    <row r="524" spans="3:4" x14ac:dyDescent="0.25">
      <c r="C524" s="44"/>
      <c r="D524" s="54"/>
    </row>
    <row r="525" spans="3:4" x14ac:dyDescent="0.25">
      <c r="C525" s="44"/>
      <c r="D525" s="54"/>
    </row>
    <row r="526" spans="3:4" x14ac:dyDescent="0.25">
      <c r="C526" s="44"/>
      <c r="D526" s="54"/>
    </row>
    <row r="527" spans="3:4" x14ac:dyDescent="0.25">
      <c r="C527" s="44"/>
      <c r="D527" s="54"/>
    </row>
    <row r="528" spans="3:4" x14ac:dyDescent="0.25">
      <c r="C528" s="44"/>
      <c r="D528" s="54"/>
    </row>
    <row r="529" spans="3:4" x14ac:dyDescent="0.25">
      <c r="C529" s="44"/>
      <c r="D529" s="54"/>
    </row>
    <row r="530" spans="3:4" x14ac:dyDescent="0.25">
      <c r="C530" s="44"/>
      <c r="D530" s="54"/>
    </row>
    <row r="531" spans="3:4" x14ac:dyDescent="0.25">
      <c r="C531" s="44"/>
      <c r="D531" s="54"/>
    </row>
    <row r="532" spans="3:4" x14ac:dyDescent="0.25">
      <c r="C532" s="44"/>
      <c r="D532" s="54"/>
    </row>
    <row r="533" spans="3:4" x14ac:dyDescent="0.25">
      <c r="C533" s="44"/>
      <c r="D533" s="54"/>
    </row>
    <row r="534" spans="3:4" x14ac:dyDescent="0.25">
      <c r="C534" s="44"/>
      <c r="D534" s="54"/>
    </row>
    <row r="535" spans="3:4" x14ac:dyDescent="0.25">
      <c r="C535" s="44"/>
      <c r="D535" s="54"/>
    </row>
    <row r="536" spans="3:4" x14ac:dyDescent="0.25">
      <c r="C536" s="44"/>
      <c r="D536" s="54"/>
    </row>
    <row r="537" spans="3:4" x14ac:dyDescent="0.25">
      <c r="C537" s="44"/>
      <c r="D537" s="54"/>
    </row>
    <row r="538" spans="3:4" x14ac:dyDescent="0.25">
      <c r="C538" s="44"/>
      <c r="D538" s="54"/>
    </row>
    <row r="539" spans="3:4" x14ac:dyDescent="0.25">
      <c r="C539" s="44"/>
      <c r="D539" s="54"/>
    </row>
    <row r="540" spans="3:4" x14ac:dyDescent="0.25">
      <c r="C540" s="44"/>
      <c r="D540" s="54"/>
    </row>
    <row r="541" spans="3:4" x14ac:dyDescent="0.25">
      <c r="C541" s="44"/>
      <c r="D541" s="54"/>
    </row>
    <row r="542" spans="3:4" x14ac:dyDescent="0.25">
      <c r="C542" s="44"/>
      <c r="D542" s="54"/>
    </row>
    <row r="543" spans="3:4" x14ac:dyDescent="0.25">
      <c r="C543" s="44"/>
      <c r="D543" s="54"/>
    </row>
    <row r="544" spans="3:4" x14ac:dyDescent="0.25">
      <c r="C544" s="44"/>
      <c r="D544" s="54"/>
    </row>
    <row r="545" spans="3:4" x14ac:dyDescent="0.25">
      <c r="C545" s="44"/>
      <c r="D545" s="54"/>
    </row>
    <row r="546" spans="3:4" x14ac:dyDescent="0.25">
      <c r="C546" s="44"/>
      <c r="D546" s="54"/>
    </row>
    <row r="547" spans="3:4" x14ac:dyDescent="0.25">
      <c r="C547" s="44"/>
      <c r="D547" s="54"/>
    </row>
    <row r="548" spans="3:4" x14ac:dyDescent="0.25">
      <c r="C548" s="44"/>
      <c r="D548" s="54"/>
    </row>
    <row r="549" spans="3:4" x14ac:dyDescent="0.25">
      <c r="C549" s="44"/>
      <c r="D549" s="54"/>
    </row>
    <row r="550" spans="3:4" x14ac:dyDescent="0.25">
      <c r="C550" s="44"/>
      <c r="D550" s="54"/>
    </row>
    <row r="551" spans="3:4" x14ac:dyDescent="0.25">
      <c r="C551" s="44"/>
      <c r="D551" s="54"/>
    </row>
    <row r="552" spans="3:4" x14ac:dyDescent="0.25">
      <c r="C552" s="44"/>
      <c r="D552" s="54"/>
    </row>
    <row r="553" spans="3:4" x14ac:dyDescent="0.25">
      <c r="C553" s="44"/>
      <c r="D553" s="54"/>
    </row>
    <row r="554" spans="3:4" x14ac:dyDescent="0.25">
      <c r="C554" s="44"/>
      <c r="D554" s="54"/>
    </row>
    <row r="555" spans="3:4" x14ac:dyDescent="0.25">
      <c r="C555" s="44"/>
      <c r="D555" s="54"/>
    </row>
    <row r="556" spans="3:4" x14ac:dyDescent="0.25">
      <c r="C556" s="44"/>
      <c r="D556" s="54"/>
    </row>
    <row r="557" spans="3:4" x14ac:dyDescent="0.25">
      <c r="C557" s="44"/>
      <c r="D557" s="54"/>
    </row>
    <row r="558" spans="3:4" x14ac:dyDescent="0.25">
      <c r="C558" s="44"/>
      <c r="D558" s="54"/>
    </row>
    <row r="559" spans="3:4" x14ac:dyDescent="0.25">
      <c r="C559" s="44"/>
      <c r="D559" s="54"/>
    </row>
    <row r="560" spans="3:4" x14ac:dyDescent="0.25">
      <c r="C560" s="44"/>
      <c r="D560" s="54"/>
    </row>
    <row r="561" spans="3:4" x14ac:dyDescent="0.25">
      <c r="C561" s="44"/>
      <c r="D561" s="54"/>
    </row>
    <row r="562" spans="3:4" x14ac:dyDescent="0.25">
      <c r="C562" s="44"/>
      <c r="D562" s="54"/>
    </row>
    <row r="563" spans="3:4" x14ac:dyDescent="0.25">
      <c r="C563" s="44"/>
      <c r="D563" s="54"/>
    </row>
    <row r="564" spans="3:4" x14ac:dyDescent="0.25">
      <c r="C564" s="44"/>
      <c r="D564" s="54"/>
    </row>
    <row r="565" spans="3:4" x14ac:dyDescent="0.25">
      <c r="C565" s="44"/>
      <c r="D565" s="54"/>
    </row>
    <row r="566" spans="3:4" x14ac:dyDescent="0.25">
      <c r="C566" s="44"/>
      <c r="D566" s="54"/>
    </row>
    <row r="567" spans="3:4" x14ac:dyDescent="0.25">
      <c r="C567" s="44"/>
      <c r="D567" s="54"/>
    </row>
    <row r="568" spans="3:4" x14ac:dyDescent="0.25">
      <c r="C568" s="44"/>
      <c r="D568" s="54"/>
    </row>
    <row r="569" spans="3:4" x14ac:dyDescent="0.25">
      <c r="C569" s="44"/>
      <c r="D569" s="54"/>
    </row>
    <row r="570" spans="3:4" x14ac:dyDescent="0.25">
      <c r="C570" s="44"/>
      <c r="D570" s="54"/>
    </row>
    <row r="571" spans="3:4" x14ac:dyDescent="0.25">
      <c r="C571" s="44"/>
      <c r="D571" s="54"/>
    </row>
    <row r="572" spans="3:4" x14ac:dyDescent="0.25">
      <c r="C572" s="44"/>
      <c r="D572" s="54"/>
    </row>
    <row r="573" spans="3:4" x14ac:dyDescent="0.25">
      <c r="C573" s="44"/>
      <c r="D573" s="54"/>
    </row>
    <row r="574" spans="3:4" x14ac:dyDescent="0.25">
      <c r="C574" s="44"/>
      <c r="D574" s="54"/>
    </row>
    <row r="575" spans="3:4" x14ac:dyDescent="0.25">
      <c r="C575" s="44"/>
      <c r="D575" s="54"/>
    </row>
    <row r="576" spans="3:4" x14ac:dyDescent="0.25">
      <c r="C576" s="44"/>
      <c r="D576" s="54"/>
    </row>
    <row r="577" spans="3:4" x14ac:dyDescent="0.25">
      <c r="C577" s="44"/>
      <c r="D577" s="54"/>
    </row>
    <row r="578" spans="3:4" x14ac:dyDescent="0.25">
      <c r="C578" s="44"/>
      <c r="D578" s="54"/>
    </row>
    <row r="579" spans="3:4" x14ac:dyDescent="0.25">
      <c r="C579" s="44"/>
      <c r="D579" s="54"/>
    </row>
    <row r="580" spans="3:4" x14ac:dyDescent="0.25">
      <c r="C580" s="44"/>
      <c r="D580" s="54"/>
    </row>
    <row r="581" spans="3:4" x14ac:dyDescent="0.25">
      <c r="C581" s="44"/>
      <c r="D581" s="54"/>
    </row>
    <row r="582" spans="3:4" x14ac:dyDescent="0.25">
      <c r="C582" s="44"/>
      <c r="D582" s="54"/>
    </row>
    <row r="583" spans="3:4" x14ac:dyDescent="0.25">
      <c r="C583" s="44"/>
      <c r="D583" s="54"/>
    </row>
    <row r="584" spans="3:4" x14ac:dyDescent="0.25">
      <c r="C584" s="44"/>
      <c r="D584" s="54"/>
    </row>
    <row r="585" spans="3:4" x14ac:dyDescent="0.25">
      <c r="C585" s="44"/>
      <c r="D585" s="54"/>
    </row>
    <row r="586" spans="3:4" x14ac:dyDescent="0.25">
      <c r="C586" s="44"/>
      <c r="D586" s="54"/>
    </row>
    <row r="587" spans="3:4" x14ac:dyDescent="0.25">
      <c r="C587" s="44"/>
      <c r="D587" s="54"/>
    </row>
    <row r="588" spans="3:4" x14ac:dyDescent="0.25">
      <c r="C588" s="44"/>
      <c r="D588" s="54"/>
    </row>
    <row r="589" spans="3:4" x14ac:dyDescent="0.25">
      <c r="C589" s="44"/>
      <c r="D589" s="54"/>
    </row>
    <row r="590" spans="3:4" x14ac:dyDescent="0.25">
      <c r="C590" s="44"/>
      <c r="D590" s="54"/>
    </row>
    <row r="591" spans="3:4" x14ac:dyDescent="0.25">
      <c r="C591" s="44"/>
      <c r="D591" s="54"/>
    </row>
    <row r="592" spans="3:4" x14ac:dyDescent="0.25">
      <c r="C592" s="44"/>
      <c r="D592" s="54"/>
    </row>
    <row r="593" spans="3:4" x14ac:dyDescent="0.25">
      <c r="C593" s="44"/>
      <c r="D593" s="54"/>
    </row>
    <row r="594" spans="3:4" x14ac:dyDescent="0.25">
      <c r="C594" s="44"/>
      <c r="D594" s="54"/>
    </row>
    <row r="595" spans="3:4" x14ac:dyDescent="0.25">
      <c r="C595" s="44"/>
      <c r="D595" s="54"/>
    </row>
    <row r="596" spans="3:4" x14ac:dyDescent="0.25">
      <c r="C596" s="44"/>
      <c r="D596" s="54"/>
    </row>
    <row r="597" spans="3:4" x14ac:dyDescent="0.25">
      <c r="C597" s="44"/>
      <c r="D597" s="54"/>
    </row>
    <row r="598" spans="3:4" x14ac:dyDescent="0.25">
      <c r="C598" s="44"/>
      <c r="D598" s="54"/>
    </row>
    <row r="599" spans="3:4" x14ac:dyDescent="0.25">
      <c r="C599" s="44"/>
      <c r="D599" s="54"/>
    </row>
    <row r="600" spans="3:4" x14ac:dyDescent="0.25">
      <c r="C600" s="44"/>
      <c r="D600" s="54"/>
    </row>
    <row r="601" spans="3:4" x14ac:dyDescent="0.25">
      <c r="C601" s="44"/>
      <c r="D601" s="54"/>
    </row>
    <row r="602" spans="3:4" x14ac:dyDescent="0.25">
      <c r="C602" s="44"/>
      <c r="D602" s="54"/>
    </row>
    <row r="603" spans="3:4" x14ac:dyDescent="0.25">
      <c r="C603" s="44"/>
      <c r="D603" s="54"/>
    </row>
    <row r="604" spans="3:4" x14ac:dyDescent="0.25">
      <c r="C604" s="44"/>
      <c r="D604" s="54"/>
    </row>
    <row r="605" spans="3:4" x14ac:dyDescent="0.25">
      <c r="C605" s="44"/>
      <c r="D605" s="54"/>
    </row>
    <row r="606" spans="3:4" x14ac:dyDescent="0.25">
      <c r="C606" s="44"/>
      <c r="D606" s="54"/>
    </row>
    <row r="607" spans="3:4" x14ac:dyDescent="0.25">
      <c r="C607" s="44"/>
      <c r="D607" s="54"/>
    </row>
    <row r="608" spans="3:4" x14ac:dyDescent="0.25">
      <c r="C608" s="44"/>
      <c r="D608" s="54"/>
    </row>
    <row r="609" spans="3:4" x14ac:dyDescent="0.25">
      <c r="C609" s="44"/>
      <c r="D609" s="54"/>
    </row>
    <row r="610" spans="3:4" x14ac:dyDescent="0.25">
      <c r="C610" s="44"/>
      <c r="D610" s="54"/>
    </row>
    <row r="611" spans="3:4" x14ac:dyDescent="0.25">
      <c r="C611" s="44"/>
      <c r="D611" s="54"/>
    </row>
    <row r="612" spans="3:4" x14ac:dyDescent="0.25">
      <c r="C612" s="44"/>
      <c r="D612" s="54"/>
    </row>
    <row r="613" spans="3:4" x14ac:dyDescent="0.25">
      <c r="C613" s="44"/>
      <c r="D613" s="54"/>
    </row>
    <row r="614" spans="3:4" x14ac:dyDescent="0.25">
      <c r="C614" s="44"/>
      <c r="D614" s="54"/>
    </row>
    <row r="615" spans="3:4" x14ac:dyDescent="0.25">
      <c r="C615" s="44"/>
      <c r="D615" s="54"/>
    </row>
    <row r="616" spans="3:4" x14ac:dyDescent="0.25">
      <c r="C616" s="44"/>
      <c r="D616" s="54"/>
    </row>
    <row r="617" spans="3:4" x14ac:dyDescent="0.25">
      <c r="C617" s="44"/>
      <c r="D617" s="54"/>
    </row>
    <row r="618" spans="3:4" x14ac:dyDescent="0.25">
      <c r="C618" s="44"/>
      <c r="D618" s="54"/>
    </row>
    <row r="619" spans="3:4" x14ac:dyDescent="0.25">
      <c r="C619" s="44"/>
      <c r="D619" s="54"/>
    </row>
    <row r="620" spans="3:4" x14ac:dyDescent="0.25">
      <c r="C620" s="44"/>
      <c r="D620" s="54"/>
    </row>
    <row r="621" spans="3:4" x14ac:dyDescent="0.25">
      <c r="C621" s="44"/>
      <c r="D621" s="54"/>
    </row>
    <row r="622" spans="3:4" x14ac:dyDescent="0.25">
      <c r="C622" s="44"/>
      <c r="D622" s="54"/>
    </row>
    <row r="623" spans="3:4" x14ac:dyDescent="0.25">
      <c r="C623" s="44"/>
      <c r="D623" s="54"/>
    </row>
    <row r="624" spans="3:4" x14ac:dyDescent="0.25">
      <c r="C624" s="44"/>
      <c r="D624" s="54"/>
    </row>
    <row r="625" spans="3:4" x14ac:dyDescent="0.25">
      <c r="C625" s="44"/>
      <c r="D625" s="54"/>
    </row>
    <row r="626" spans="3:4" x14ac:dyDescent="0.25">
      <c r="C626" s="44"/>
      <c r="D626" s="54"/>
    </row>
    <row r="627" spans="3:4" x14ac:dyDescent="0.25">
      <c r="C627" s="44"/>
      <c r="D627" s="54"/>
    </row>
    <row r="628" spans="3:4" x14ac:dyDescent="0.25">
      <c r="C628" s="44"/>
      <c r="D628" s="54"/>
    </row>
    <row r="629" spans="3:4" x14ac:dyDescent="0.25">
      <c r="C629" s="44"/>
      <c r="D629" s="54"/>
    </row>
    <row r="630" spans="3:4" x14ac:dyDescent="0.25">
      <c r="C630" s="44"/>
      <c r="D630" s="54"/>
    </row>
    <row r="631" spans="3:4" x14ac:dyDescent="0.25">
      <c r="C631" s="44"/>
      <c r="D631" s="54"/>
    </row>
    <row r="632" spans="3:4" x14ac:dyDescent="0.25">
      <c r="C632" s="44"/>
      <c r="D632" s="54"/>
    </row>
    <row r="633" spans="3:4" x14ac:dyDescent="0.25">
      <c r="C633" s="44"/>
      <c r="D633" s="54"/>
    </row>
    <row r="634" spans="3:4" x14ac:dyDescent="0.25">
      <c r="C634" s="44"/>
      <c r="D634" s="54"/>
    </row>
    <row r="635" spans="3:4" x14ac:dyDescent="0.25">
      <c r="C635" s="44"/>
      <c r="D635" s="54"/>
    </row>
    <row r="636" spans="3:4" x14ac:dyDescent="0.25">
      <c r="C636" s="44"/>
      <c r="D636" s="54"/>
    </row>
    <row r="637" spans="3:4" x14ac:dyDescent="0.25">
      <c r="C637" s="44"/>
      <c r="D637" s="54"/>
    </row>
    <row r="638" spans="3:4" x14ac:dyDescent="0.25">
      <c r="C638" s="44"/>
      <c r="D638" s="54"/>
    </row>
    <row r="639" spans="3:4" x14ac:dyDescent="0.25">
      <c r="C639" s="44"/>
      <c r="D639" s="54"/>
    </row>
    <row r="640" spans="3:4" x14ac:dyDescent="0.25">
      <c r="C640" s="44"/>
      <c r="D640" s="54"/>
    </row>
    <row r="641" spans="3:4" x14ac:dyDescent="0.25">
      <c r="C641" s="44"/>
      <c r="D641" s="54"/>
    </row>
    <row r="642" spans="3:4" x14ac:dyDescent="0.25">
      <c r="C642" s="44"/>
      <c r="D642" s="54"/>
    </row>
    <row r="643" spans="3:4" x14ac:dyDescent="0.25">
      <c r="C643" s="44"/>
      <c r="D643" s="54"/>
    </row>
    <row r="644" spans="3:4" x14ac:dyDescent="0.25">
      <c r="C644" s="44"/>
      <c r="D644" s="54"/>
    </row>
    <row r="645" spans="3:4" x14ac:dyDescent="0.25">
      <c r="C645" s="44"/>
      <c r="D645" s="54"/>
    </row>
    <row r="646" spans="3:4" x14ac:dyDescent="0.25">
      <c r="C646" s="44"/>
      <c r="D646" s="54"/>
    </row>
    <row r="647" spans="3:4" x14ac:dyDescent="0.25">
      <c r="C647" s="44"/>
      <c r="D647" s="54"/>
    </row>
    <row r="648" spans="3:4" x14ac:dyDescent="0.25">
      <c r="C648" s="44"/>
      <c r="D648" s="54"/>
    </row>
    <row r="649" spans="3:4" x14ac:dyDescent="0.25">
      <c r="C649" s="44"/>
      <c r="D649" s="54"/>
    </row>
    <row r="650" spans="3:4" x14ac:dyDescent="0.25">
      <c r="C650" s="44"/>
      <c r="D650" s="54"/>
    </row>
    <row r="651" spans="3:4" x14ac:dyDescent="0.25">
      <c r="C651" s="44"/>
      <c r="D651" s="54"/>
    </row>
    <row r="652" spans="3:4" x14ac:dyDescent="0.25">
      <c r="C652" s="44"/>
      <c r="D652" s="54"/>
    </row>
    <row r="653" spans="3:4" x14ac:dyDescent="0.25">
      <c r="C653" s="44"/>
      <c r="D653" s="54"/>
    </row>
    <row r="654" spans="3:4" x14ac:dyDescent="0.25">
      <c r="C654" s="44"/>
      <c r="D654" s="54"/>
    </row>
    <row r="655" spans="3:4" x14ac:dyDescent="0.25">
      <c r="C655" s="44"/>
      <c r="D655" s="54"/>
    </row>
    <row r="656" spans="3:4" x14ac:dyDescent="0.25">
      <c r="C656" s="44"/>
      <c r="D656" s="54"/>
    </row>
    <row r="657" spans="3:4" x14ac:dyDescent="0.25">
      <c r="C657" s="44"/>
      <c r="D657" s="54"/>
    </row>
    <row r="658" spans="3:4" x14ac:dyDescent="0.25">
      <c r="C658" s="44"/>
      <c r="D658" s="54"/>
    </row>
    <row r="659" spans="3:4" x14ac:dyDescent="0.25">
      <c r="C659" s="44"/>
      <c r="D659" s="54"/>
    </row>
    <row r="660" spans="3:4" x14ac:dyDescent="0.25">
      <c r="C660" s="44"/>
      <c r="D660" s="54"/>
    </row>
    <row r="661" spans="3:4" x14ac:dyDescent="0.25">
      <c r="C661" s="44"/>
      <c r="D661" s="54"/>
    </row>
    <row r="662" spans="3:4" x14ac:dyDescent="0.25">
      <c r="C662" s="44"/>
      <c r="D662" s="54"/>
    </row>
    <row r="663" spans="3:4" x14ac:dyDescent="0.25">
      <c r="C663" s="44"/>
      <c r="D663" s="54"/>
    </row>
    <row r="664" spans="3:4" x14ac:dyDescent="0.25">
      <c r="C664" s="44"/>
      <c r="D664" s="54"/>
    </row>
    <row r="665" spans="3:4" x14ac:dyDescent="0.25">
      <c r="C665" s="44"/>
      <c r="D665" s="54"/>
    </row>
    <row r="666" spans="3:4" x14ac:dyDescent="0.25">
      <c r="C666" s="44"/>
      <c r="D666" s="54"/>
    </row>
    <row r="667" spans="3:4" x14ac:dyDescent="0.25">
      <c r="C667" s="44"/>
      <c r="D667" s="54"/>
    </row>
    <row r="668" spans="3:4" x14ac:dyDescent="0.25">
      <c r="C668" s="44"/>
      <c r="D668" s="54"/>
    </row>
    <row r="669" spans="3:4" x14ac:dyDescent="0.25">
      <c r="C669" s="44"/>
      <c r="D669" s="54"/>
    </row>
    <row r="670" spans="3:4" x14ac:dyDescent="0.25">
      <c r="C670" s="44"/>
      <c r="D670" s="54"/>
    </row>
    <row r="671" spans="3:4" x14ac:dyDescent="0.25">
      <c r="C671" s="44"/>
      <c r="D671" s="54"/>
    </row>
    <row r="672" spans="3:4" x14ac:dyDescent="0.25">
      <c r="C672" s="44"/>
      <c r="D672" s="54"/>
    </row>
    <row r="673" spans="3:4" x14ac:dyDescent="0.25">
      <c r="C673" s="44"/>
      <c r="D673" s="54"/>
    </row>
    <row r="674" spans="3:4" x14ac:dyDescent="0.25">
      <c r="C674" s="44"/>
      <c r="D674" s="54"/>
    </row>
    <row r="675" spans="3:4" x14ac:dyDescent="0.25">
      <c r="C675" s="44"/>
      <c r="D675" s="54"/>
    </row>
    <row r="676" spans="3:4" x14ac:dyDescent="0.25">
      <c r="C676" s="44"/>
      <c r="D676" s="54"/>
    </row>
    <row r="677" spans="3:4" x14ac:dyDescent="0.25">
      <c r="C677" s="44"/>
      <c r="D677" s="54"/>
    </row>
    <row r="678" spans="3:4" x14ac:dyDescent="0.25">
      <c r="C678" s="44"/>
      <c r="D678" s="54"/>
    </row>
    <row r="679" spans="3:4" x14ac:dyDescent="0.25">
      <c r="C679" s="44"/>
      <c r="D679" s="54"/>
    </row>
    <row r="680" spans="3:4" x14ac:dyDescent="0.25">
      <c r="C680" s="44"/>
      <c r="D680" s="54"/>
    </row>
    <row r="681" spans="3:4" x14ac:dyDescent="0.25">
      <c r="C681" s="44"/>
      <c r="D681" s="54"/>
    </row>
    <row r="682" spans="3:4" x14ac:dyDescent="0.25">
      <c r="C682" s="44"/>
      <c r="D682" s="54"/>
    </row>
    <row r="683" spans="3:4" x14ac:dyDescent="0.25">
      <c r="C683" s="44"/>
      <c r="D683" s="54"/>
    </row>
    <row r="684" spans="3:4" x14ac:dyDescent="0.25">
      <c r="C684" s="44"/>
      <c r="D684" s="54"/>
    </row>
    <row r="685" spans="3:4" x14ac:dyDescent="0.25">
      <c r="C685" s="44"/>
      <c r="D685" s="54"/>
    </row>
    <row r="686" spans="3:4" x14ac:dyDescent="0.25">
      <c r="C686" s="44"/>
      <c r="D686" s="54"/>
    </row>
    <row r="687" spans="3:4" x14ac:dyDescent="0.25">
      <c r="C687" s="44"/>
      <c r="D687" s="54"/>
    </row>
    <row r="688" spans="3:4" x14ac:dyDescent="0.25">
      <c r="C688" s="44"/>
      <c r="D688" s="54"/>
    </row>
    <row r="689" spans="3:4" x14ac:dyDescent="0.25">
      <c r="C689" s="44"/>
      <c r="D689" s="54"/>
    </row>
    <row r="690" spans="3:4" x14ac:dyDescent="0.25">
      <c r="C690" s="44"/>
      <c r="D690" s="54"/>
    </row>
    <row r="691" spans="3:4" x14ac:dyDescent="0.25">
      <c r="C691" s="44"/>
      <c r="D691" s="54"/>
    </row>
    <row r="692" spans="3:4" x14ac:dyDescent="0.25">
      <c r="C692" s="44"/>
      <c r="D692" s="54"/>
    </row>
    <row r="693" spans="3:4" x14ac:dyDescent="0.25">
      <c r="C693" s="44"/>
      <c r="D693" s="54"/>
    </row>
    <row r="694" spans="3:4" x14ac:dyDescent="0.25">
      <c r="C694" s="44"/>
      <c r="D694" s="54"/>
    </row>
    <row r="695" spans="3:4" x14ac:dyDescent="0.25">
      <c r="C695" s="44"/>
      <c r="D695" s="54"/>
    </row>
    <row r="696" spans="3:4" x14ac:dyDescent="0.25">
      <c r="C696" s="44"/>
      <c r="D696" s="54"/>
    </row>
    <row r="697" spans="3:4" x14ac:dyDescent="0.25">
      <c r="C697" s="44"/>
      <c r="D697" s="54"/>
    </row>
    <row r="698" spans="3:4" x14ac:dyDescent="0.25">
      <c r="C698" s="44"/>
      <c r="D698" s="54"/>
    </row>
    <row r="699" spans="3:4" x14ac:dyDescent="0.25">
      <c r="C699" s="44"/>
      <c r="D699" s="54"/>
    </row>
    <row r="700" spans="3:4" x14ac:dyDescent="0.25">
      <c r="C700" s="44"/>
      <c r="D700" s="54"/>
    </row>
    <row r="701" spans="3:4" x14ac:dyDescent="0.25">
      <c r="C701" s="44"/>
      <c r="D701" s="54"/>
    </row>
    <row r="702" spans="3:4" x14ac:dyDescent="0.25">
      <c r="C702" s="44"/>
      <c r="D702" s="54"/>
    </row>
    <row r="703" spans="3:4" x14ac:dyDescent="0.25">
      <c r="C703" s="44"/>
      <c r="D703" s="54"/>
    </row>
    <row r="704" spans="3:4" x14ac:dyDescent="0.25">
      <c r="C704" s="44"/>
      <c r="D704" s="54"/>
    </row>
    <row r="705" spans="3:4" x14ac:dyDescent="0.25">
      <c r="C705" s="44"/>
      <c r="D705" s="54"/>
    </row>
    <row r="706" spans="3:4" x14ac:dyDescent="0.25">
      <c r="C706" s="44"/>
      <c r="D706" s="54"/>
    </row>
    <row r="707" spans="3:4" x14ac:dyDescent="0.25">
      <c r="C707" s="44"/>
      <c r="D707" s="54"/>
    </row>
    <row r="708" spans="3:4" x14ac:dyDescent="0.25">
      <c r="C708" s="44"/>
      <c r="D708" s="54"/>
    </row>
    <row r="709" spans="3:4" x14ac:dyDescent="0.25">
      <c r="C709" s="44"/>
      <c r="D709" s="54"/>
    </row>
    <row r="710" spans="3:4" x14ac:dyDescent="0.25">
      <c r="C710" s="44"/>
      <c r="D710" s="54"/>
    </row>
    <row r="711" spans="3:4" x14ac:dyDescent="0.25">
      <c r="C711" s="44"/>
      <c r="D711" s="54"/>
    </row>
    <row r="712" spans="3:4" x14ac:dyDescent="0.25">
      <c r="C712" s="44"/>
      <c r="D712" s="54"/>
    </row>
    <row r="713" spans="3:4" x14ac:dyDescent="0.25">
      <c r="C713" s="44"/>
      <c r="D713" s="54"/>
    </row>
    <row r="714" spans="3:4" x14ac:dyDescent="0.25">
      <c r="C714" s="44"/>
      <c r="D714" s="54"/>
    </row>
    <row r="715" spans="3:4" x14ac:dyDescent="0.25">
      <c r="C715" s="44"/>
      <c r="D715" s="54"/>
    </row>
    <row r="716" spans="3:4" x14ac:dyDescent="0.25">
      <c r="C716" s="44"/>
      <c r="D716" s="54"/>
    </row>
    <row r="717" spans="3:4" x14ac:dyDescent="0.25">
      <c r="C717" s="44"/>
      <c r="D717" s="54"/>
    </row>
    <row r="718" spans="3:4" x14ac:dyDescent="0.25">
      <c r="C718" s="44"/>
      <c r="D718" s="54"/>
    </row>
    <row r="719" spans="3:4" x14ac:dyDescent="0.25">
      <c r="C719" s="44"/>
      <c r="D719" s="54"/>
    </row>
    <row r="720" spans="3:4" x14ac:dyDescent="0.25">
      <c r="C720" s="44"/>
      <c r="D720" s="54"/>
    </row>
    <row r="721" spans="3:4" x14ac:dyDescent="0.25">
      <c r="C721" s="44"/>
      <c r="D721" s="54"/>
    </row>
    <row r="722" spans="3:4" x14ac:dyDescent="0.25">
      <c r="C722" s="44"/>
      <c r="D722" s="54"/>
    </row>
    <row r="723" spans="3:4" x14ac:dyDescent="0.25">
      <c r="C723" s="44"/>
      <c r="D723" s="54"/>
    </row>
    <row r="724" spans="3:4" x14ac:dyDescent="0.25">
      <c r="C724" s="44"/>
      <c r="D724" s="54"/>
    </row>
    <row r="725" spans="3:4" x14ac:dyDescent="0.25">
      <c r="C725" s="44"/>
      <c r="D725" s="54"/>
    </row>
    <row r="726" spans="3:4" x14ac:dyDescent="0.25">
      <c r="C726" s="44"/>
      <c r="D726" s="54"/>
    </row>
    <row r="727" spans="3:4" x14ac:dyDescent="0.25">
      <c r="C727" s="44"/>
      <c r="D727" s="54"/>
    </row>
    <row r="728" spans="3:4" x14ac:dyDescent="0.25">
      <c r="C728" s="44"/>
      <c r="D728" s="54"/>
    </row>
    <row r="729" spans="3:4" x14ac:dyDescent="0.25">
      <c r="C729" s="44"/>
      <c r="D729" s="54"/>
    </row>
    <row r="730" spans="3:4" x14ac:dyDescent="0.25">
      <c r="C730" s="44"/>
      <c r="D730" s="54"/>
    </row>
    <row r="731" spans="3:4" x14ac:dyDescent="0.25">
      <c r="C731" s="44"/>
      <c r="D731" s="54"/>
    </row>
    <row r="732" spans="3:4" x14ac:dyDescent="0.25">
      <c r="C732" s="44"/>
      <c r="D732" s="54"/>
    </row>
    <row r="733" spans="3:4" x14ac:dyDescent="0.25">
      <c r="C733" s="44"/>
      <c r="D733" s="54"/>
    </row>
    <row r="734" spans="3:4" x14ac:dyDescent="0.25">
      <c r="C734" s="44"/>
      <c r="D734" s="54"/>
    </row>
    <row r="735" spans="3:4" x14ac:dyDescent="0.25">
      <c r="C735" s="44"/>
      <c r="D735" s="54"/>
    </row>
    <row r="736" spans="3:4" x14ac:dyDescent="0.25">
      <c r="C736" s="44"/>
      <c r="D736" s="54"/>
    </row>
    <row r="737" spans="3:4" x14ac:dyDescent="0.25">
      <c r="C737" s="44"/>
      <c r="D737" s="54"/>
    </row>
    <row r="738" spans="3:4" x14ac:dyDescent="0.25">
      <c r="C738" s="44"/>
      <c r="D738" s="54"/>
    </row>
    <row r="739" spans="3:4" x14ac:dyDescent="0.25">
      <c r="C739" s="44"/>
      <c r="D739" s="54"/>
    </row>
    <row r="740" spans="3:4" x14ac:dyDescent="0.25">
      <c r="C740" s="44"/>
      <c r="D740" s="54"/>
    </row>
    <row r="741" spans="3:4" x14ac:dyDescent="0.25">
      <c r="C741" s="44"/>
      <c r="D741" s="54"/>
    </row>
    <row r="742" spans="3:4" x14ac:dyDescent="0.25">
      <c r="C742" s="44"/>
      <c r="D742" s="54"/>
    </row>
    <row r="743" spans="3:4" x14ac:dyDescent="0.25">
      <c r="C743" s="44"/>
      <c r="D743" s="54"/>
    </row>
    <row r="744" spans="3:4" x14ac:dyDescent="0.25">
      <c r="C744" s="44"/>
      <c r="D744" s="54"/>
    </row>
    <row r="745" spans="3:4" x14ac:dyDescent="0.25">
      <c r="C745" s="44"/>
      <c r="D745" s="54"/>
    </row>
    <row r="746" spans="3:4" x14ac:dyDescent="0.25">
      <c r="C746" s="44"/>
      <c r="D746" s="54"/>
    </row>
    <row r="747" spans="3:4" x14ac:dyDescent="0.25">
      <c r="C747" s="44"/>
      <c r="D747" s="54"/>
    </row>
    <row r="748" spans="3:4" x14ac:dyDescent="0.25">
      <c r="C748" s="44"/>
      <c r="D748" s="54"/>
    </row>
    <row r="749" spans="3:4" x14ac:dyDescent="0.25">
      <c r="C749" s="44"/>
      <c r="D749" s="54"/>
    </row>
    <row r="750" spans="3:4" x14ac:dyDescent="0.25">
      <c r="C750" s="44"/>
      <c r="D750" s="54"/>
    </row>
    <row r="751" spans="3:4" x14ac:dyDescent="0.25">
      <c r="C751" s="44"/>
      <c r="D751" s="54"/>
    </row>
    <row r="752" spans="3:4" x14ac:dyDescent="0.25">
      <c r="C752" s="44"/>
    </row>
    <row r="753" spans="3:3" x14ac:dyDescent="0.25">
      <c r="C753" s="44"/>
    </row>
    <row r="754" spans="3:3" x14ac:dyDescent="0.25">
      <c r="C754" s="44"/>
    </row>
    <row r="755" spans="3:3" x14ac:dyDescent="0.25">
      <c r="C755" s="44"/>
    </row>
    <row r="756" spans="3:3" x14ac:dyDescent="0.25">
      <c r="C756" s="44"/>
    </row>
    <row r="757" spans="3:3" x14ac:dyDescent="0.2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35"/>
  <sheetViews>
    <sheetView workbookViewId="0">
      <selection activeCell="C12" sqref="C12"/>
    </sheetView>
  </sheetViews>
  <sheetFormatPr baseColWidth="10" defaultRowHeight="15" x14ac:dyDescent="0.25"/>
  <cols>
    <col min="1" max="1" width="64.7109375" bestFit="1" customWidth="1"/>
    <col min="2" max="2" width="21.28515625" bestFit="1" customWidth="1"/>
    <col min="3" max="3" width="68" customWidth="1"/>
  </cols>
  <sheetData>
    <row r="1" spans="1:3" x14ac:dyDescent="0.25">
      <c r="A1" s="18" t="s">
        <v>74</v>
      </c>
      <c r="B1" s="18" t="s">
        <v>198</v>
      </c>
      <c r="C1" s="18" t="s">
        <v>705</v>
      </c>
    </row>
    <row r="2" spans="1:3" ht="48" x14ac:dyDescent="0.25">
      <c r="A2" s="38" t="s">
        <v>177</v>
      </c>
      <c r="B2" s="37" t="s">
        <v>199</v>
      </c>
      <c r="C2" s="55" t="s">
        <v>707</v>
      </c>
    </row>
    <row r="3" spans="1:3" ht="36" x14ac:dyDescent="0.25">
      <c r="A3" s="38" t="s">
        <v>178</v>
      </c>
      <c r="B3" s="38" t="s">
        <v>201</v>
      </c>
      <c r="C3" s="55" t="s">
        <v>706</v>
      </c>
    </row>
    <row r="4" spans="1:3" x14ac:dyDescent="0.25">
      <c r="A4" s="38" t="s">
        <v>481</v>
      </c>
      <c r="B4" s="38" t="s">
        <v>200</v>
      </c>
    </row>
    <row r="5" spans="1:3" x14ac:dyDescent="0.25">
      <c r="A5" s="38" t="s">
        <v>80</v>
      </c>
      <c r="B5" s="29"/>
    </row>
    <row r="6" spans="1:3" x14ac:dyDescent="0.25">
      <c r="A6" s="38" t="s">
        <v>79</v>
      </c>
      <c r="B6" s="29"/>
    </row>
    <row r="7" spans="1:3" x14ac:dyDescent="0.25">
      <c r="A7" s="38" t="s">
        <v>483</v>
      </c>
      <c r="B7" s="29"/>
    </row>
    <row r="8" spans="1:3" x14ac:dyDescent="0.25">
      <c r="A8" s="38" t="s">
        <v>182</v>
      </c>
      <c r="B8" s="29"/>
    </row>
    <row r="9" spans="1:3" x14ac:dyDescent="0.25">
      <c r="A9" s="38" t="s">
        <v>179</v>
      </c>
      <c r="B9" s="29"/>
    </row>
    <row r="10" spans="1:3" x14ac:dyDescent="0.25">
      <c r="A10" s="38" t="s">
        <v>180</v>
      </c>
      <c r="B10" s="29"/>
    </row>
    <row r="11" spans="1:3" x14ac:dyDescent="0.25">
      <c r="A11" s="38" t="s">
        <v>181</v>
      </c>
      <c r="B11" s="29"/>
    </row>
    <row r="12" spans="1:3" x14ac:dyDescent="0.25">
      <c r="A12" s="38" t="s">
        <v>482</v>
      </c>
      <c r="B12" s="29"/>
    </row>
    <row r="13" spans="1:3" x14ac:dyDescent="0.25">
      <c r="A13" s="38" t="s">
        <v>480</v>
      </c>
      <c r="B13" s="29"/>
    </row>
    <row r="14" spans="1:3" x14ac:dyDescent="0.25">
      <c r="A14" s="38" t="s">
        <v>185</v>
      </c>
      <c r="B14" s="29"/>
    </row>
    <row r="15" spans="1:3" x14ac:dyDescent="0.25">
      <c r="A15" s="38" t="s">
        <v>184</v>
      </c>
      <c r="B15" s="29"/>
    </row>
    <row r="16" spans="1:3" x14ac:dyDescent="0.25">
      <c r="A16" s="38" t="s">
        <v>186</v>
      </c>
      <c r="B16" s="29"/>
    </row>
    <row r="17" spans="1:2" x14ac:dyDescent="0.25">
      <c r="A17" s="38" t="s">
        <v>187</v>
      </c>
      <c r="B17" s="29"/>
    </row>
    <row r="18" spans="1:2" x14ac:dyDescent="0.25">
      <c r="A18" s="38" t="s">
        <v>188</v>
      </c>
      <c r="B18" s="29"/>
    </row>
    <row r="19" spans="1:2" x14ac:dyDescent="0.25">
      <c r="A19" s="38" t="s">
        <v>183</v>
      </c>
      <c r="B19" s="29"/>
    </row>
    <row r="20" spans="1:2" x14ac:dyDescent="0.25">
      <c r="A20" s="38" t="s">
        <v>484</v>
      </c>
      <c r="B20" s="29"/>
    </row>
    <row r="21" spans="1:2" x14ac:dyDescent="0.25">
      <c r="A21" s="38" t="s">
        <v>77</v>
      </c>
      <c r="B21" s="29"/>
    </row>
    <row r="22" spans="1:2" x14ac:dyDescent="0.25">
      <c r="A22" s="38" t="s">
        <v>75</v>
      </c>
      <c r="B22" s="29"/>
    </row>
    <row r="23" spans="1:2" x14ac:dyDescent="0.25">
      <c r="A23" s="38" t="s">
        <v>76</v>
      </c>
      <c r="B23" s="29"/>
    </row>
    <row r="24" spans="1:2" x14ac:dyDescent="0.25">
      <c r="A24" s="38" t="s">
        <v>78</v>
      </c>
      <c r="B24" s="29"/>
    </row>
    <row r="25" spans="1:2" x14ac:dyDescent="0.25">
      <c r="A25" s="38" t="s">
        <v>479</v>
      </c>
      <c r="B25" s="29"/>
    </row>
    <row r="26" spans="1:2" x14ac:dyDescent="0.25">
      <c r="A26" s="38" t="s">
        <v>176</v>
      </c>
      <c r="B26" s="29"/>
    </row>
    <row r="27" spans="1:2" x14ac:dyDescent="0.25">
      <c r="A27" s="38" t="s">
        <v>175</v>
      </c>
      <c r="B27" s="29"/>
    </row>
    <row r="28" spans="1:2" x14ac:dyDescent="0.25">
      <c r="A28" s="38" t="s">
        <v>195</v>
      </c>
      <c r="B28" s="29"/>
    </row>
    <row r="29" spans="1:2" x14ac:dyDescent="0.25">
      <c r="A29" s="38" t="s">
        <v>189</v>
      </c>
      <c r="B29" s="29"/>
    </row>
    <row r="30" spans="1:2" x14ac:dyDescent="0.25">
      <c r="A30" s="38" t="s">
        <v>191</v>
      </c>
      <c r="B30" s="29"/>
    </row>
    <row r="31" spans="1:2" x14ac:dyDescent="0.25">
      <c r="A31" s="38" t="s">
        <v>196</v>
      </c>
      <c r="B31" s="29"/>
    </row>
    <row r="32" spans="1:2" x14ac:dyDescent="0.25">
      <c r="A32" s="38" t="s">
        <v>190</v>
      </c>
      <c r="B32" s="29"/>
    </row>
    <row r="33" spans="1:2" x14ac:dyDescent="0.25">
      <c r="A33" s="38" t="s">
        <v>192</v>
      </c>
      <c r="B33" s="29"/>
    </row>
    <row r="34" spans="1:2" x14ac:dyDescent="0.25">
      <c r="A34" s="38" t="s">
        <v>194</v>
      </c>
      <c r="B34" s="29"/>
    </row>
    <row r="35" spans="1:2" x14ac:dyDescent="0.25">
      <c r="A35" s="38" t="s">
        <v>193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5" x14ac:dyDescent="0.25"/>
  <cols>
    <col min="1" max="1" width="30.85546875" bestFit="1" customWidth="1"/>
    <col min="2" max="2" width="19" customWidth="1"/>
  </cols>
  <sheetData>
    <row r="1" spans="1:2" x14ac:dyDescent="0.25">
      <c r="A1" s="18" t="s">
        <v>218</v>
      </c>
      <c r="B1" s="18" t="s">
        <v>219</v>
      </c>
    </row>
    <row r="2" spans="1:2" x14ac:dyDescent="0.25">
      <c r="A2" s="39" t="s">
        <v>220</v>
      </c>
      <c r="B2" s="40">
        <v>43502638</v>
      </c>
    </row>
    <row r="3" spans="1:2" x14ac:dyDescent="0.25">
      <c r="A3" s="39" t="s">
        <v>221</v>
      </c>
      <c r="B3" s="40">
        <v>43651295</v>
      </c>
    </row>
    <row r="4" spans="1:2" x14ac:dyDescent="0.25">
      <c r="A4" s="39" t="s">
        <v>222</v>
      </c>
      <c r="B4" s="40">
        <v>42897640</v>
      </c>
    </row>
    <row r="5" spans="1:2" x14ac:dyDescent="0.25">
      <c r="A5" s="39" t="s">
        <v>223</v>
      </c>
      <c r="B5" s="40">
        <v>70084346</v>
      </c>
    </row>
    <row r="6" spans="1:2" x14ac:dyDescent="0.25">
      <c r="A6" s="39" t="s">
        <v>224</v>
      </c>
      <c r="B6" s="41" t="s">
        <v>401</v>
      </c>
    </row>
    <row r="7" spans="1:2" x14ac:dyDescent="0.25">
      <c r="A7" s="39" t="s">
        <v>225</v>
      </c>
      <c r="B7" s="40">
        <v>71612027</v>
      </c>
    </row>
    <row r="8" spans="1:2" x14ac:dyDescent="0.25">
      <c r="A8" s="39" t="s">
        <v>226</v>
      </c>
      <c r="B8" s="40">
        <v>3396537</v>
      </c>
    </row>
    <row r="9" spans="1:2" x14ac:dyDescent="0.25">
      <c r="A9" s="39" t="s">
        <v>227</v>
      </c>
      <c r="B9" s="40">
        <v>71337736</v>
      </c>
    </row>
    <row r="10" spans="1:2" x14ac:dyDescent="0.25">
      <c r="A10" s="39" t="s">
        <v>228</v>
      </c>
      <c r="B10" s="40">
        <v>71752561</v>
      </c>
    </row>
    <row r="11" spans="1:2" x14ac:dyDescent="0.25">
      <c r="A11" s="39" t="s">
        <v>229</v>
      </c>
      <c r="B11" s="40">
        <v>15349797</v>
      </c>
    </row>
    <row r="12" spans="1:2" x14ac:dyDescent="0.25">
      <c r="A12" s="39" t="s">
        <v>230</v>
      </c>
      <c r="B12" s="40">
        <v>43522706</v>
      </c>
    </row>
    <row r="13" spans="1:2" x14ac:dyDescent="0.25">
      <c r="A13" s="39" t="s">
        <v>231</v>
      </c>
      <c r="B13" s="40">
        <v>8287418</v>
      </c>
    </row>
    <row r="14" spans="1:2" x14ac:dyDescent="0.25">
      <c r="A14" s="39" t="s">
        <v>232</v>
      </c>
      <c r="B14" s="40">
        <v>42887817</v>
      </c>
    </row>
    <row r="15" spans="1:2" x14ac:dyDescent="0.25">
      <c r="A15" s="39" t="s">
        <v>233</v>
      </c>
      <c r="B15" s="40">
        <v>42883734</v>
      </c>
    </row>
    <row r="16" spans="1:2" x14ac:dyDescent="0.25">
      <c r="A16" s="39" t="s">
        <v>234</v>
      </c>
      <c r="B16" s="40">
        <v>43621952</v>
      </c>
    </row>
    <row r="17" spans="1:2" x14ac:dyDescent="0.25">
      <c r="A17" s="39" t="s">
        <v>235</v>
      </c>
      <c r="B17" s="40">
        <v>43025797</v>
      </c>
    </row>
    <row r="18" spans="1:2" x14ac:dyDescent="0.25">
      <c r="A18" s="39" t="s">
        <v>236</v>
      </c>
      <c r="B18" s="40">
        <v>43189871</v>
      </c>
    </row>
    <row r="19" spans="1:2" x14ac:dyDescent="0.25">
      <c r="A19" s="39" t="s">
        <v>237</v>
      </c>
      <c r="B19" s="40">
        <v>71603452</v>
      </c>
    </row>
    <row r="20" spans="1:2" x14ac:dyDescent="0.25">
      <c r="A20" s="39" t="s">
        <v>238</v>
      </c>
      <c r="B20" s="40">
        <v>71739737</v>
      </c>
    </row>
    <row r="21" spans="1:2" x14ac:dyDescent="0.25">
      <c r="A21" s="39" t="s">
        <v>239</v>
      </c>
      <c r="B21" s="40">
        <v>98671608</v>
      </c>
    </row>
    <row r="22" spans="1:2" x14ac:dyDescent="0.25">
      <c r="A22" s="39" t="s">
        <v>240</v>
      </c>
      <c r="B22" s="40">
        <v>42871672</v>
      </c>
    </row>
    <row r="23" spans="1:2" x14ac:dyDescent="0.25">
      <c r="A23" s="39" t="s">
        <v>241</v>
      </c>
      <c r="B23" s="40">
        <v>71991542</v>
      </c>
    </row>
    <row r="24" spans="1:2" x14ac:dyDescent="0.25">
      <c r="A24" s="39" t="s">
        <v>242</v>
      </c>
      <c r="B24" s="40">
        <v>43062616</v>
      </c>
    </row>
    <row r="25" spans="1:2" x14ac:dyDescent="0.25">
      <c r="A25" s="39" t="s">
        <v>243</v>
      </c>
      <c r="B25" s="40">
        <v>34529960</v>
      </c>
    </row>
    <row r="26" spans="1:2" x14ac:dyDescent="0.25">
      <c r="A26" s="39" t="s">
        <v>244</v>
      </c>
      <c r="B26" s="40">
        <v>42999723</v>
      </c>
    </row>
    <row r="27" spans="1:2" x14ac:dyDescent="0.25">
      <c r="A27" s="39" t="s">
        <v>245</v>
      </c>
      <c r="B27" s="40">
        <v>32429021</v>
      </c>
    </row>
    <row r="28" spans="1:2" x14ac:dyDescent="0.25">
      <c r="A28" s="39" t="s">
        <v>246</v>
      </c>
      <c r="B28" s="40" t="s">
        <v>247</v>
      </c>
    </row>
    <row r="29" spans="1:2" x14ac:dyDescent="0.25">
      <c r="A29" s="39" t="s">
        <v>248</v>
      </c>
      <c r="B29" s="40">
        <v>79262441</v>
      </c>
    </row>
    <row r="30" spans="1:2" x14ac:dyDescent="0.25">
      <c r="A30" s="39" t="s">
        <v>249</v>
      </c>
      <c r="B30" s="40">
        <v>70565696</v>
      </c>
    </row>
    <row r="31" spans="1:2" x14ac:dyDescent="0.25">
      <c r="A31" s="39" t="s">
        <v>250</v>
      </c>
      <c r="B31" s="40">
        <v>71955597</v>
      </c>
    </row>
    <row r="32" spans="1:2" x14ac:dyDescent="0.25">
      <c r="A32" s="39" t="s">
        <v>251</v>
      </c>
      <c r="B32" s="40">
        <v>73099259</v>
      </c>
    </row>
    <row r="33" spans="1:2" x14ac:dyDescent="0.25">
      <c r="A33" s="39" t="s">
        <v>252</v>
      </c>
      <c r="B33" s="40">
        <v>71596451</v>
      </c>
    </row>
    <row r="34" spans="1:2" x14ac:dyDescent="0.25">
      <c r="A34" s="39" t="s">
        <v>253</v>
      </c>
      <c r="B34" s="40">
        <v>51802180</v>
      </c>
    </row>
    <row r="35" spans="1:2" x14ac:dyDescent="0.25">
      <c r="A35" s="39" t="s">
        <v>254</v>
      </c>
      <c r="B35" s="40">
        <v>42072392</v>
      </c>
    </row>
    <row r="36" spans="1:2" x14ac:dyDescent="0.25">
      <c r="A36" s="39" t="s">
        <v>255</v>
      </c>
      <c r="B36" s="40">
        <v>52988305</v>
      </c>
    </row>
    <row r="37" spans="1:2" x14ac:dyDescent="0.25">
      <c r="A37" s="39" t="s">
        <v>256</v>
      </c>
      <c r="B37" s="40">
        <v>43974625</v>
      </c>
    </row>
    <row r="38" spans="1:2" x14ac:dyDescent="0.25">
      <c r="A38" s="39" t="s">
        <v>257</v>
      </c>
      <c r="B38" s="40">
        <v>65765794</v>
      </c>
    </row>
    <row r="39" spans="1:2" x14ac:dyDescent="0.25">
      <c r="A39" s="39" t="s">
        <v>258</v>
      </c>
      <c r="B39" s="40">
        <v>93369720</v>
      </c>
    </row>
    <row r="40" spans="1:2" x14ac:dyDescent="0.25">
      <c r="A40" s="39" t="s">
        <v>259</v>
      </c>
      <c r="B40" s="40">
        <v>79236164</v>
      </c>
    </row>
    <row r="41" spans="1:2" x14ac:dyDescent="0.25">
      <c r="A41" s="39" t="s">
        <v>260</v>
      </c>
      <c r="B41" s="40">
        <v>42875774</v>
      </c>
    </row>
    <row r="42" spans="1:2" x14ac:dyDescent="0.25">
      <c r="A42" s="39" t="s">
        <v>261</v>
      </c>
      <c r="B42" s="40">
        <v>60358066</v>
      </c>
    </row>
    <row r="43" spans="1:2" x14ac:dyDescent="0.25">
      <c r="A43" s="39" t="s">
        <v>262</v>
      </c>
      <c r="B43" s="40">
        <v>43577512</v>
      </c>
    </row>
    <row r="44" spans="1:2" x14ac:dyDescent="0.25">
      <c r="A44" s="39" t="s">
        <v>263</v>
      </c>
      <c r="B44" s="40">
        <v>1214717481</v>
      </c>
    </row>
    <row r="45" spans="1:2" x14ac:dyDescent="0.25">
      <c r="A45" s="39" t="s">
        <v>264</v>
      </c>
      <c r="B45" s="40" t="s">
        <v>265</v>
      </c>
    </row>
    <row r="46" spans="1:2" x14ac:dyDescent="0.25">
      <c r="A46" s="39" t="s">
        <v>266</v>
      </c>
      <c r="B46" s="40">
        <v>98704548</v>
      </c>
    </row>
    <row r="47" spans="1:2" x14ac:dyDescent="0.25">
      <c r="A47" s="39" t="s">
        <v>267</v>
      </c>
      <c r="B47" s="40">
        <v>7463551</v>
      </c>
    </row>
    <row r="48" spans="1:2" x14ac:dyDescent="0.25">
      <c r="A48" s="39" t="s">
        <v>268</v>
      </c>
      <c r="B48" s="40">
        <v>32295438</v>
      </c>
    </row>
    <row r="49" spans="1:2" x14ac:dyDescent="0.25">
      <c r="A49" s="39" t="s">
        <v>269</v>
      </c>
      <c r="B49" s="40">
        <v>43876824</v>
      </c>
    </row>
    <row r="50" spans="1:2" x14ac:dyDescent="0.25">
      <c r="A50" s="39" t="s">
        <v>270</v>
      </c>
      <c r="B50" s="40">
        <v>42690330</v>
      </c>
    </row>
    <row r="51" spans="1:2" x14ac:dyDescent="0.25">
      <c r="A51" s="39" t="s">
        <v>271</v>
      </c>
      <c r="B51" s="40">
        <v>39354942</v>
      </c>
    </row>
    <row r="52" spans="1:2" x14ac:dyDescent="0.25">
      <c r="A52" s="39" t="s">
        <v>272</v>
      </c>
      <c r="B52" s="40">
        <v>79653661</v>
      </c>
    </row>
    <row r="53" spans="1:2" x14ac:dyDescent="0.25">
      <c r="A53" s="39" t="s">
        <v>273</v>
      </c>
      <c r="B53" s="40">
        <v>98554575</v>
      </c>
    </row>
    <row r="54" spans="1:2" x14ac:dyDescent="0.25">
      <c r="A54" s="39" t="s">
        <v>274</v>
      </c>
      <c r="B54" s="40">
        <v>15385665</v>
      </c>
    </row>
    <row r="55" spans="1:2" x14ac:dyDescent="0.25">
      <c r="A55" s="39" t="s">
        <v>275</v>
      </c>
      <c r="B55" s="40">
        <v>43623353</v>
      </c>
    </row>
    <row r="56" spans="1:2" x14ac:dyDescent="0.25">
      <c r="A56" s="39" t="s">
        <v>489</v>
      </c>
      <c r="B56" s="40">
        <v>42898342</v>
      </c>
    </row>
    <row r="57" spans="1:2" x14ac:dyDescent="0.25">
      <c r="A57" s="39" t="s">
        <v>276</v>
      </c>
      <c r="B57" s="40">
        <v>43507828</v>
      </c>
    </row>
    <row r="58" spans="1:2" x14ac:dyDescent="0.25">
      <c r="A58" s="39" t="s">
        <v>277</v>
      </c>
      <c r="B58" s="40">
        <v>31261894</v>
      </c>
    </row>
    <row r="59" spans="1:2" x14ac:dyDescent="0.25">
      <c r="A59" s="39" t="s">
        <v>278</v>
      </c>
      <c r="B59" s="40">
        <v>15515584</v>
      </c>
    </row>
    <row r="60" spans="1:2" x14ac:dyDescent="0.25">
      <c r="A60" s="39" t="s">
        <v>279</v>
      </c>
      <c r="B60" s="40">
        <v>98664727</v>
      </c>
    </row>
    <row r="61" spans="1:2" x14ac:dyDescent="0.25">
      <c r="A61" s="39" t="s">
        <v>280</v>
      </c>
      <c r="B61" s="40">
        <v>71757640</v>
      </c>
    </row>
    <row r="62" spans="1:2" x14ac:dyDescent="0.25">
      <c r="A62" s="39" t="s">
        <v>281</v>
      </c>
      <c r="B62" s="40">
        <v>12971061</v>
      </c>
    </row>
    <row r="63" spans="1:2" x14ac:dyDescent="0.25">
      <c r="A63" s="39" t="s">
        <v>282</v>
      </c>
      <c r="B63" s="40">
        <v>76781560</v>
      </c>
    </row>
    <row r="64" spans="1:2" x14ac:dyDescent="0.25">
      <c r="A64" s="39" t="s">
        <v>283</v>
      </c>
      <c r="B64" s="40">
        <v>43279195</v>
      </c>
    </row>
    <row r="65" spans="1:2" x14ac:dyDescent="0.25">
      <c r="A65" s="39" t="s">
        <v>284</v>
      </c>
      <c r="B65" s="40">
        <v>98663399</v>
      </c>
    </row>
    <row r="66" spans="1:2" x14ac:dyDescent="0.25">
      <c r="A66" s="39" t="s">
        <v>285</v>
      </c>
      <c r="B66" s="40">
        <v>88213282</v>
      </c>
    </row>
    <row r="67" spans="1:2" x14ac:dyDescent="0.25">
      <c r="A67" s="39" t="s">
        <v>286</v>
      </c>
      <c r="B67" s="40">
        <v>43588021</v>
      </c>
    </row>
    <row r="68" spans="1:2" x14ac:dyDescent="0.25">
      <c r="A68" s="39" t="s">
        <v>287</v>
      </c>
      <c r="B68" s="40">
        <v>91247994</v>
      </c>
    </row>
    <row r="69" spans="1:2" x14ac:dyDescent="0.25">
      <c r="A69" s="39" t="s">
        <v>288</v>
      </c>
      <c r="B69" s="40" t="s">
        <v>289</v>
      </c>
    </row>
    <row r="70" spans="1:2" x14ac:dyDescent="0.25">
      <c r="A70" s="39" t="s">
        <v>290</v>
      </c>
      <c r="B70" s="40">
        <v>98546513</v>
      </c>
    </row>
    <row r="71" spans="1:2" x14ac:dyDescent="0.25">
      <c r="A71" s="39" t="s">
        <v>291</v>
      </c>
      <c r="B71" s="40">
        <v>74322987</v>
      </c>
    </row>
    <row r="72" spans="1:2" x14ac:dyDescent="0.25">
      <c r="A72" s="39" t="s">
        <v>292</v>
      </c>
      <c r="B72" s="40">
        <v>71706554</v>
      </c>
    </row>
    <row r="73" spans="1:2" x14ac:dyDescent="0.25">
      <c r="A73" s="39" t="s">
        <v>293</v>
      </c>
      <c r="B73" s="40">
        <v>70088083</v>
      </c>
    </row>
    <row r="74" spans="1:2" x14ac:dyDescent="0.25">
      <c r="A74" s="39" t="s">
        <v>294</v>
      </c>
      <c r="B74" s="40">
        <v>3352862</v>
      </c>
    </row>
    <row r="75" spans="1:2" x14ac:dyDescent="0.25">
      <c r="A75" s="39" t="s">
        <v>295</v>
      </c>
      <c r="B75" s="40">
        <v>15316872</v>
      </c>
    </row>
    <row r="76" spans="1:2" x14ac:dyDescent="0.25">
      <c r="A76" s="39" t="s">
        <v>296</v>
      </c>
      <c r="B76" s="40">
        <v>530144</v>
      </c>
    </row>
    <row r="77" spans="1:2" x14ac:dyDescent="0.25">
      <c r="A77" s="39" t="s">
        <v>297</v>
      </c>
      <c r="B77" s="40">
        <v>71396622</v>
      </c>
    </row>
    <row r="78" spans="1:2" x14ac:dyDescent="0.25">
      <c r="A78" s="39" t="s">
        <v>298</v>
      </c>
      <c r="B78" s="40">
        <v>8342412</v>
      </c>
    </row>
    <row r="79" spans="1:2" x14ac:dyDescent="0.25">
      <c r="A79" s="39" t="s">
        <v>299</v>
      </c>
      <c r="B79" s="40">
        <v>8311845</v>
      </c>
    </row>
    <row r="80" spans="1:2" x14ac:dyDescent="0.25">
      <c r="A80" s="39" t="s">
        <v>300</v>
      </c>
      <c r="B80" s="40">
        <v>71748199</v>
      </c>
    </row>
    <row r="81" spans="1:2" x14ac:dyDescent="0.25">
      <c r="A81" s="39" t="s">
        <v>301</v>
      </c>
      <c r="B81" s="41" t="s">
        <v>401</v>
      </c>
    </row>
    <row r="82" spans="1:2" x14ac:dyDescent="0.25">
      <c r="A82" s="39" t="s">
        <v>302</v>
      </c>
      <c r="B82" s="40">
        <v>39181036</v>
      </c>
    </row>
    <row r="83" spans="1:2" x14ac:dyDescent="0.25">
      <c r="A83" s="39" t="s">
        <v>303</v>
      </c>
      <c r="B83" s="40">
        <v>51983999</v>
      </c>
    </row>
    <row r="84" spans="1:2" x14ac:dyDescent="0.25">
      <c r="A84" s="39" t="s">
        <v>304</v>
      </c>
      <c r="B84" s="40">
        <v>29331701</v>
      </c>
    </row>
    <row r="85" spans="1:2" x14ac:dyDescent="0.25">
      <c r="A85" s="39" t="s">
        <v>305</v>
      </c>
      <c r="B85" s="40">
        <v>39167183</v>
      </c>
    </row>
    <row r="86" spans="1:2" x14ac:dyDescent="0.25">
      <c r="A86" s="39" t="s">
        <v>306</v>
      </c>
      <c r="B86" s="40">
        <v>43057165</v>
      </c>
    </row>
    <row r="87" spans="1:2" x14ac:dyDescent="0.25">
      <c r="A87" s="39" t="s">
        <v>307</v>
      </c>
      <c r="B87" s="40">
        <v>41925468</v>
      </c>
    </row>
    <row r="88" spans="1:2" x14ac:dyDescent="0.25">
      <c r="A88" s="39" t="s">
        <v>308</v>
      </c>
      <c r="B88" s="40">
        <v>19350413</v>
      </c>
    </row>
    <row r="89" spans="1:2" x14ac:dyDescent="0.25">
      <c r="A89" s="39" t="s">
        <v>309</v>
      </c>
      <c r="B89" s="40">
        <v>1128393225</v>
      </c>
    </row>
    <row r="90" spans="1:2" x14ac:dyDescent="0.25">
      <c r="A90" s="39" t="s">
        <v>310</v>
      </c>
      <c r="B90" s="40">
        <v>63508258</v>
      </c>
    </row>
    <row r="91" spans="1:2" x14ac:dyDescent="0.25">
      <c r="A91" s="39" t="s">
        <v>311</v>
      </c>
      <c r="B91" s="40">
        <v>71032491</v>
      </c>
    </row>
    <row r="92" spans="1:2" x14ac:dyDescent="0.25">
      <c r="A92" s="39" t="s">
        <v>312</v>
      </c>
      <c r="B92" s="40">
        <v>70047625</v>
      </c>
    </row>
    <row r="93" spans="1:2" x14ac:dyDescent="0.25">
      <c r="A93" s="39" t="s">
        <v>313</v>
      </c>
      <c r="B93" s="40">
        <v>71737460</v>
      </c>
    </row>
    <row r="94" spans="1:2" x14ac:dyDescent="0.25">
      <c r="A94" s="39" t="s">
        <v>314</v>
      </c>
      <c r="B94" s="40">
        <v>98523088</v>
      </c>
    </row>
    <row r="95" spans="1:2" x14ac:dyDescent="0.25">
      <c r="A95" s="39" t="s">
        <v>315</v>
      </c>
      <c r="B95" s="40">
        <v>70052102</v>
      </c>
    </row>
    <row r="96" spans="1:2" x14ac:dyDescent="0.25">
      <c r="A96" s="39" t="s">
        <v>316</v>
      </c>
      <c r="B96" s="40">
        <v>3352118</v>
      </c>
    </row>
    <row r="97" spans="1:2" x14ac:dyDescent="0.25">
      <c r="A97" s="39" t="s">
        <v>317</v>
      </c>
      <c r="B97" s="40">
        <v>8061064</v>
      </c>
    </row>
    <row r="98" spans="1:2" x14ac:dyDescent="0.25">
      <c r="A98" s="39" t="s">
        <v>318</v>
      </c>
      <c r="B98" s="40">
        <v>8284200</v>
      </c>
    </row>
    <row r="99" spans="1:2" x14ac:dyDescent="0.25">
      <c r="A99" s="39" t="s">
        <v>319</v>
      </c>
      <c r="B99" s="40">
        <v>309159</v>
      </c>
    </row>
    <row r="100" spans="1:2" x14ac:dyDescent="0.25">
      <c r="A100" s="39" t="s">
        <v>320</v>
      </c>
      <c r="B100" s="40">
        <v>72196999</v>
      </c>
    </row>
    <row r="101" spans="1:2" x14ac:dyDescent="0.25">
      <c r="A101" s="39" t="s">
        <v>321</v>
      </c>
      <c r="B101" s="40">
        <v>8292512</v>
      </c>
    </row>
    <row r="102" spans="1:2" x14ac:dyDescent="0.25">
      <c r="A102" s="39" t="s">
        <v>322</v>
      </c>
      <c r="B102" s="40">
        <v>71769124</v>
      </c>
    </row>
    <row r="103" spans="1:2" x14ac:dyDescent="0.25">
      <c r="A103" s="39" t="s">
        <v>323</v>
      </c>
      <c r="B103" s="40">
        <v>71598955</v>
      </c>
    </row>
    <row r="104" spans="1:2" x14ac:dyDescent="0.25">
      <c r="A104" s="39" t="s">
        <v>324</v>
      </c>
      <c r="B104" s="40">
        <v>16774154</v>
      </c>
    </row>
    <row r="105" spans="1:2" x14ac:dyDescent="0.25">
      <c r="A105" s="39" t="s">
        <v>325</v>
      </c>
      <c r="B105" s="40">
        <v>71718217</v>
      </c>
    </row>
    <row r="106" spans="1:2" x14ac:dyDescent="0.25">
      <c r="A106" s="39" t="s">
        <v>326</v>
      </c>
      <c r="B106" s="40">
        <v>98522591</v>
      </c>
    </row>
    <row r="107" spans="1:2" x14ac:dyDescent="0.25">
      <c r="A107" s="39" t="s">
        <v>327</v>
      </c>
      <c r="B107" s="40">
        <v>71738910</v>
      </c>
    </row>
    <row r="108" spans="1:2" x14ac:dyDescent="0.25">
      <c r="A108" s="39" t="s">
        <v>328</v>
      </c>
      <c r="B108" s="40">
        <v>8298535</v>
      </c>
    </row>
    <row r="109" spans="1:2" x14ac:dyDescent="0.25">
      <c r="A109" s="39" t="s">
        <v>329</v>
      </c>
      <c r="B109" s="40" t="s">
        <v>401</v>
      </c>
    </row>
    <row r="110" spans="1:2" x14ac:dyDescent="0.25">
      <c r="A110" s="39" t="s">
        <v>330</v>
      </c>
      <c r="B110" s="40">
        <v>79802985</v>
      </c>
    </row>
    <row r="111" spans="1:2" x14ac:dyDescent="0.25">
      <c r="A111" s="39" t="s">
        <v>331</v>
      </c>
      <c r="B111" s="41">
        <v>70129564</v>
      </c>
    </row>
    <row r="112" spans="1:2" x14ac:dyDescent="0.25">
      <c r="A112" s="39" t="s">
        <v>332</v>
      </c>
      <c r="B112" s="40">
        <v>313558</v>
      </c>
    </row>
    <row r="113" spans="1:2" x14ac:dyDescent="0.25">
      <c r="A113" s="39" t="s">
        <v>333</v>
      </c>
      <c r="B113" s="40">
        <v>388446</v>
      </c>
    </row>
    <row r="114" spans="1:2" x14ac:dyDescent="0.25">
      <c r="A114" s="39" t="s">
        <v>334</v>
      </c>
      <c r="B114" s="40">
        <v>98519294</v>
      </c>
    </row>
    <row r="115" spans="1:2" x14ac:dyDescent="0.25">
      <c r="A115" s="39" t="s">
        <v>335</v>
      </c>
      <c r="B115" s="40">
        <v>71658672</v>
      </c>
    </row>
    <row r="116" spans="1:2" x14ac:dyDescent="0.25">
      <c r="A116" s="39" t="s">
        <v>449</v>
      </c>
      <c r="B116" s="40">
        <v>98671489</v>
      </c>
    </row>
    <row r="117" spans="1:2" x14ac:dyDescent="0.25">
      <c r="A117" s="39" t="s">
        <v>336</v>
      </c>
      <c r="B117" s="40">
        <v>8125090</v>
      </c>
    </row>
    <row r="118" spans="1:2" x14ac:dyDescent="0.25">
      <c r="A118" s="39" t="s">
        <v>337</v>
      </c>
      <c r="B118" s="40">
        <v>7540911</v>
      </c>
    </row>
    <row r="119" spans="1:2" x14ac:dyDescent="0.25">
      <c r="A119" s="39" t="s">
        <v>338</v>
      </c>
      <c r="B119" s="40">
        <v>71659205</v>
      </c>
    </row>
    <row r="120" spans="1:2" x14ac:dyDescent="0.25">
      <c r="A120" s="39" t="s">
        <v>339</v>
      </c>
      <c r="B120" s="40">
        <v>15517825</v>
      </c>
    </row>
    <row r="121" spans="1:2" x14ac:dyDescent="0.25">
      <c r="A121" s="39" t="s">
        <v>340</v>
      </c>
      <c r="B121" s="40">
        <v>98622265</v>
      </c>
    </row>
    <row r="122" spans="1:2" x14ac:dyDescent="0.25">
      <c r="A122" s="39" t="s">
        <v>341</v>
      </c>
      <c r="B122" s="40">
        <v>98640721</v>
      </c>
    </row>
    <row r="123" spans="1:2" x14ac:dyDescent="0.25">
      <c r="A123" s="39" t="s">
        <v>342</v>
      </c>
      <c r="B123" s="40">
        <v>71779021</v>
      </c>
    </row>
    <row r="124" spans="1:2" x14ac:dyDescent="0.25">
      <c r="A124" s="39" t="s">
        <v>343</v>
      </c>
      <c r="B124" s="40">
        <v>71690172</v>
      </c>
    </row>
    <row r="125" spans="1:2" x14ac:dyDescent="0.25">
      <c r="A125" s="39" t="s">
        <v>344</v>
      </c>
      <c r="B125" s="40">
        <v>79324536</v>
      </c>
    </row>
    <row r="126" spans="1:2" x14ac:dyDescent="0.25">
      <c r="A126" s="39" t="s">
        <v>345</v>
      </c>
      <c r="B126" s="40">
        <v>74185664</v>
      </c>
    </row>
    <row r="127" spans="1:2" x14ac:dyDescent="0.25">
      <c r="A127" s="39" t="s">
        <v>346</v>
      </c>
      <c r="B127" s="40">
        <v>43733154</v>
      </c>
    </row>
    <row r="128" spans="1:2" x14ac:dyDescent="0.25">
      <c r="A128" s="39" t="s">
        <v>347</v>
      </c>
      <c r="B128" s="40" t="s">
        <v>348</v>
      </c>
    </row>
    <row r="129" spans="1:2" x14ac:dyDescent="0.25">
      <c r="A129" s="39" t="s">
        <v>349</v>
      </c>
      <c r="B129" s="40">
        <v>71373121</v>
      </c>
    </row>
    <row r="130" spans="1:2" x14ac:dyDescent="0.25">
      <c r="A130" s="39" t="s">
        <v>350</v>
      </c>
      <c r="B130" s="40" t="s">
        <v>401</v>
      </c>
    </row>
    <row r="131" spans="1:2" x14ac:dyDescent="0.25">
      <c r="A131" s="39" t="s">
        <v>351</v>
      </c>
      <c r="B131" s="41">
        <v>43589188</v>
      </c>
    </row>
    <row r="132" spans="1:2" x14ac:dyDescent="0.25">
      <c r="A132" s="39" t="s">
        <v>352</v>
      </c>
      <c r="B132" s="40">
        <v>43631379</v>
      </c>
    </row>
    <row r="133" spans="1:2" x14ac:dyDescent="0.25">
      <c r="A133" s="39" t="s">
        <v>353</v>
      </c>
      <c r="B133" s="40">
        <v>43574075</v>
      </c>
    </row>
    <row r="134" spans="1:2" x14ac:dyDescent="0.25">
      <c r="A134" s="39" t="s">
        <v>354</v>
      </c>
      <c r="B134" s="40">
        <v>32450553</v>
      </c>
    </row>
    <row r="135" spans="1:2" x14ac:dyDescent="0.25">
      <c r="A135" s="39" t="s">
        <v>355</v>
      </c>
      <c r="B135" s="40">
        <v>71850545</v>
      </c>
    </row>
    <row r="136" spans="1:2" x14ac:dyDescent="0.25">
      <c r="A136" s="39" t="s">
        <v>356</v>
      </c>
      <c r="B136" s="40">
        <v>71715701</v>
      </c>
    </row>
    <row r="137" spans="1:2" x14ac:dyDescent="0.25">
      <c r="A137" s="39" t="s">
        <v>357</v>
      </c>
      <c r="B137" s="40">
        <v>93408901</v>
      </c>
    </row>
    <row r="138" spans="1:2" x14ac:dyDescent="0.25">
      <c r="A138" s="39" t="s">
        <v>358</v>
      </c>
      <c r="B138" s="40">
        <v>98762438</v>
      </c>
    </row>
    <row r="139" spans="1:2" x14ac:dyDescent="0.25">
      <c r="A139" s="39" t="s">
        <v>359</v>
      </c>
      <c r="B139" s="40">
        <v>70052901</v>
      </c>
    </row>
    <row r="140" spans="1:2" x14ac:dyDescent="0.25">
      <c r="A140" s="39" t="s">
        <v>360</v>
      </c>
      <c r="B140" s="40">
        <v>71374326</v>
      </c>
    </row>
    <row r="141" spans="1:2" x14ac:dyDescent="0.25">
      <c r="A141" s="39" t="s">
        <v>361</v>
      </c>
      <c r="B141" s="40">
        <v>15319469</v>
      </c>
    </row>
    <row r="142" spans="1:2" x14ac:dyDescent="0.25">
      <c r="A142" s="39" t="s">
        <v>362</v>
      </c>
      <c r="B142" s="40">
        <v>71600472</v>
      </c>
    </row>
    <row r="143" spans="1:2" x14ac:dyDescent="0.25">
      <c r="A143" s="39" t="s">
        <v>363</v>
      </c>
      <c r="B143" s="40" t="s">
        <v>401</v>
      </c>
    </row>
    <row r="144" spans="1:2" x14ac:dyDescent="0.25">
      <c r="A144" s="39" t="s">
        <v>364</v>
      </c>
      <c r="B144" s="41">
        <v>42978843</v>
      </c>
    </row>
    <row r="145" spans="1:2" x14ac:dyDescent="0.25">
      <c r="A145" s="39" t="s">
        <v>365</v>
      </c>
      <c r="B145" s="40" t="s">
        <v>366</v>
      </c>
    </row>
    <row r="146" spans="1:2" x14ac:dyDescent="0.25">
      <c r="A146" s="39" t="s">
        <v>367</v>
      </c>
      <c r="B146" s="40">
        <v>18496076</v>
      </c>
    </row>
    <row r="147" spans="1:2" x14ac:dyDescent="0.25">
      <c r="A147" s="39" t="s">
        <v>368</v>
      </c>
      <c r="B147" s="40">
        <v>37726659</v>
      </c>
    </row>
    <row r="148" spans="1:2" x14ac:dyDescent="0.25">
      <c r="A148" s="39" t="s">
        <v>369</v>
      </c>
      <c r="B148" s="40">
        <v>43736060</v>
      </c>
    </row>
    <row r="149" spans="1:2" x14ac:dyDescent="0.25">
      <c r="A149" s="39" t="s">
        <v>370</v>
      </c>
      <c r="B149" s="40">
        <v>43045140</v>
      </c>
    </row>
    <row r="150" spans="1:2" x14ac:dyDescent="0.25">
      <c r="A150" s="39" t="s">
        <v>371</v>
      </c>
      <c r="B150" s="40">
        <v>51782710</v>
      </c>
    </row>
    <row r="151" spans="1:2" x14ac:dyDescent="0.25">
      <c r="A151" s="39" t="s">
        <v>372</v>
      </c>
      <c r="B151" s="40">
        <v>43754949</v>
      </c>
    </row>
    <row r="152" spans="1:2" x14ac:dyDescent="0.25">
      <c r="A152" s="39" t="s">
        <v>373</v>
      </c>
      <c r="B152" s="40">
        <v>32160433</v>
      </c>
    </row>
    <row r="153" spans="1:2" x14ac:dyDescent="0.25">
      <c r="A153" s="39" t="s">
        <v>374</v>
      </c>
      <c r="B153" s="40">
        <v>43271158</v>
      </c>
    </row>
    <row r="154" spans="1:2" x14ac:dyDescent="0.25">
      <c r="A154" s="39" t="s">
        <v>375</v>
      </c>
      <c r="B154" s="40">
        <v>42688146</v>
      </c>
    </row>
    <row r="155" spans="1:2" x14ac:dyDescent="0.25">
      <c r="A155" s="39" t="s">
        <v>376</v>
      </c>
      <c r="B155" s="40">
        <v>63306025</v>
      </c>
    </row>
    <row r="156" spans="1:2" x14ac:dyDescent="0.25">
      <c r="A156" s="39" t="s">
        <v>377</v>
      </c>
      <c r="B156" s="40">
        <v>43636595</v>
      </c>
    </row>
    <row r="157" spans="1:2" x14ac:dyDescent="0.25">
      <c r="A157" s="39" t="s">
        <v>378</v>
      </c>
      <c r="B157" s="40">
        <v>43820480</v>
      </c>
    </row>
    <row r="158" spans="1:2" x14ac:dyDescent="0.25">
      <c r="A158" s="39" t="s">
        <v>379</v>
      </c>
      <c r="B158" s="40">
        <v>88251569</v>
      </c>
    </row>
    <row r="159" spans="1:2" x14ac:dyDescent="0.25">
      <c r="A159" s="39" t="s">
        <v>380</v>
      </c>
      <c r="B159" s="40">
        <v>98383434</v>
      </c>
    </row>
    <row r="160" spans="1:2" x14ac:dyDescent="0.25">
      <c r="A160" s="39" t="s">
        <v>381</v>
      </c>
      <c r="B160" s="40">
        <v>1017126818</v>
      </c>
    </row>
    <row r="161" spans="1:2" x14ac:dyDescent="0.25">
      <c r="A161" s="39" t="s">
        <v>382</v>
      </c>
      <c r="B161" s="40">
        <v>52197727</v>
      </c>
    </row>
    <row r="162" spans="1:2" x14ac:dyDescent="0.25">
      <c r="A162" s="39" t="s">
        <v>383</v>
      </c>
      <c r="B162" s="40">
        <v>51706561</v>
      </c>
    </row>
    <row r="163" spans="1:2" x14ac:dyDescent="0.25">
      <c r="A163" s="39" t="s">
        <v>384</v>
      </c>
      <c r="B163" s="40" t="s">
        <v>401</v>
      </c>
    </row>
    <row r="164" spans="1:2" x14ac:dyDescent="0.25">
      <c r="A164" s="39" t="s">
        <v>385</v>
      </c>
      <c r="B164" s="41" t="s">
        <v>401</v>
      </c>
    </row>
    <row r="165" spans="1:2" x14ac:dyDescent="0.25">
      <c r="A165" s="39" t="s">
        <v>386</v>
      </c>
      <c r="B165" s="41">
        <v>32392138</v>
      </c>
    </row>
    <row r="166" spans="1:2" x14ac:dyDescent="0.25">
      <c r="A166" s="39" t="s">
        <v>387</v>
      </c>
      <c r="B166" s="40">
        <v>70561630</v>
      </c>
    </row>
    <row r="167" spans="1:2" x14ac:dyDescent="0.25">
      <c r="A167" s="39" t="s">
        <v>388</v>
      </c>
      <c r="B167" s="40">
        <v>98545035</v>
      </c>
    </row>
    <row r="168" spans="1:2" x14ac:dyDescent="0.25">
      <c r="A168" s="39" t="s">
        <v>389</v>
      </c>
      <c r="B168" s="40">
        <v>103098312</v>
      </c>
    </row>
    <row r="169" spans="1:2" x14ac:dyDescent="0.25">
      <c r="A169" s="39" t="s">
        <v>390</v>
      </c>
      <c r="B169" s="40">
        <v>42775166</v>
      </c>
    </row>
    <row r="170" spans="1:2" x14ac:dyDescent="0.25">
      <c r="A170" s="39" t="s">
        <v>391</v>
      </c>
      <c r="B170" s="40">
        <v>39355853</v>
      </c>
    </row>
    <row r="171" spans="1:2" x14ac:dyDescent="0.25">
      <c r="A171" s="39" t="s">
        <v>392</v>
      </c>
      <c r="B171" s="40">
        <v>43569251</v>
      </c>
    </row>
    <row r="172" spans="1:2" x14ac:dyDescent="0.25">
      <c r="A172" s="39" t="s">
        <v>393</v>
      </c>
      <c r="B172" s="40">
        <v>24331389</v>
      </c>
    </row>
    <row r="173" spans="1:2" x14ac:dyDescent="0.25">
      <c r="A173" s="39" t="s">
        <v>394</v>
      </c>
      <c r="B173" s="40">
        <v>43261673</v>
      </c>
    </row>
    <row r="174" spans="1:2" x14ac:dyDescent="0.25">
      <c r="A174" s="39" t="s">
        <v>395</v>
      </c>
      <c r="B174" s="40">
        <v>43973745</v>
      </c>
    </row>
    <row r="175" spans="1:2" x14ac:dyDescent="0.25">
      <c r="A175" s="39" t="s">
        <v>396</v>
      </c>
      <c r="B175" s="40">
        <v>42792532</v>
      </c>
    </row>
    <row r="176" spans="1:2" x14ac:dyDescent="0.25">
      <c r="A176" s="39" t="s">
        <v>397</v>
      </c>
      <c r="B176" s="40">
        <v>43273420</v>
      </c>
    </row>
    <row r="177" spans="1:2" x14ac:dyDescent="0.25">
      <c r="A177" s="39" t="s">
        <v>398</v>
      </c>
      <c r="B177" s="40">
        <v>71652459</v>
      </c>
    </row>
    <row r="178" spans="1:2" x14ac:dyDescent="0.25">
      <c r="A178" s="39" t="s">
        <v>399</v>
      </c>
      <c r="B178" s="40">
        <v>10285050</v>
      </c>
    </row>
    <row r="179" spans="1:2" x14ac:dyDescent="0.25">
      <c r="A179" s="39" t="s">
        <v>400</v>
      </c>
      <c r="B179" s="40">
        <v>2773712</v>
      </c>
    </row>
    <row r="180" spans="1:2" x14ac:dyDescent="0.25">
      <c r="A180" s="39" t="s">
        <v>513</v>
      </c>
      <c r="B180" s="40">
        <v>71228513</v>
      </c>
    </row>
    <row r="181" spans="1:2" x14ac:dyDescent="0.25">
      <c r="A181" s="39" t="s">
        <v>514</v>
      </c>
      <c r="B181" s="40" t="s">
        <v>401</v>
      </c>
    </row>
    <row r="182" spans="1:2" x14ac:dyDescent="0.25">
      <c r="A182" s="39" t="s">
        <v>515</v>
      </c>
      <c r="B182" s="40">
        <v>16729916</v>
      </c>
    </row>
    <row r="183" spans="1:2" x14ac:dyDescent="0.25">
      <c r="A183" s="39" t="s">
        <v>516</v>
      </c>
      <c r="B183" s="40">
        <v>3614926</v>
      </c>
    </row>
    <row r="184" spans="1:2" x14ac:dyDescent="0.25">
      <c r="A184" s="39" t="s">
        <v>517</v>
      </c>
      <c r="B184" s="40">
        <v>43181204</v>
      </c>
    </row>
    <row r="185" spans="1:2" x14ac:dyDescent="0.25">
      <c r="A185" s="39" t="s">
        <v>518</v>
      </c>
      <c r="B185" s="40">
        <v>9274624</v>
      </c>
    </row>
    <row r="186" spans="1:2" x14ac:dyDescent="0.25">
      <c r="A186" s="39" t="s">
        <v>519</v>
      </c>
      <c r="B186" s="40">
        <v>14321327</v>
      </c>
    </row>
    <row r="187" spans="1:2" x14ac:dyDescent="0.25">
      <c r="A187" s="39" t="s">
        <v>520</v>
      </c>
      <c r="B187" s="40">
        <v>70552478</v>
      </c>
    </row>
    <row r="188" spans="1:2" x14ac:dyDescent="0.25">
      <c r="A188" s="39" t="s">
        <v>521</v>
      </c>
      <c r="B188" s="40">
        <v>78695953</v>
      </c>
    </row>
    <row r="189" spans="1:2" x14ac:dyDescent="0.25">
      <c r="A189" s="39" t="s">
        <v>522</v>
      </c>
      <c r="B189" s="40">
        <v>39357558</v>
      </c>
    </row>
    <row r="190" spans="1:2" x14ac:dyDescent="0.25">
      <c r="A190" s="39" t="s">
        <v>523</v>
      </c>
      <c r="B190" s="40">
        <v>32144634</v>
      </c>
    </row>
    <row r="191" spans="1:2" x14ac:dyDescent="0.25">
      <c r="A191" s="39" t="s">
        <v>524</v>
      </c>
      <c r="B191" s="40">
        <v>43976190</v>
      </c>
    </row>
    <row r="192" spans="1:2" x14ac:dyDescent="0.25">
      <c r="A192" s="39" t="s">
        <v>525</v>
      </c>
      <c r="B192" s="40">
        <v>1037584763</v>
      </c>
    </row>
    <row r="193" spans="1:2" x14ac:dyDescent="0.25">
      <c r="A193" s="39" t="s">
        <v>526</v>
      </c>
      <c r="B193" s="40">
        <v>91274892</v>
      </c>
    </row>
    <row r="194" spans="1:2" x14ac:dyDescent="0.25">
      <c r="A194" s="39" t="s">
        <v>527</v>
      </c>
      <c r="B194" s="40">
        <v>79396377</v>
      </c>
    </row>
    <row r="195" spans="1:2" x14ac:dyDescent="0.25">
      <c r="A195" s="39" t="s">
        <v>683</v>
      </c>
      <c r="B195" s="40">
        <v>13056766</v>
      </c>
    </row>
    <row r="196" spans="1:2" x14ac:dyDescent="0.25">
      <c r="A196" s="39" t="s">
        <v>528</v>
      </c>
      <c r="B196" s="40">
        <v>71604098</v>
      </c>
    </row>
    <row r="197" spans="1:2" x14ac:dyDescent="0.25">
      <c r="A197" s="39" t="s">
        <v>529</v>
      </c>
      <c r="B197" s="40" t="s">
        <v>401</v>
      </c>
    </row>
    <row r="198" spans="1:2" x14ac:dyDescent="0.25">
      <c r="A198" s="39" t="s">
        <v>530</v>
      </c>
      <c r="B198" s="40">
        <v>43208454</v>
      </c>
    </row>
    <row r="199" spans="1:2" x14ac:dyDescent="0.25">
      <c r="A199" s="39" t="s">
        <v>531</v>
      </c>
      <c r="B199" s="40">
        <v>37224127</v>
      </c>
    </row>
    <row r="200" spans="1:2" x14ac:dyDescent="0.25">
      <c r="A200" s="39" t="s">
        <v>532</v>
      </c>
      <c r="B200" s="40">
        <v>71781892</v>
      </c>
    </row>
    <row r="201" spans="1:2" x14ac:dyDescent="0.25">
      <c r="A201" s="39" t="s">
        <v>533</v>
      </c>
      <c r="B201" s="40">
        <v>43684363</v>
      </c>
    </row>
    <row r="202" spans="1:2" x14ac:dyDescent="0.25">
      <c r="A202" s="39" t="s">
        <v>534</v>
      </c>
      <c r="B202" s="40">
        <v>42828062</v>
      </c>
    </row>
    <row r="203" spans="1:2" x14ac:dyDescent="0.25">
      <c r="A203" s="39" t="s">
        <v>535</v>
      </c>
      <c r="B203" s="40">
        <v>43001116</v>
      </c>
    </row>
    <row r="204" spans="1:2" x14ac:dyDescent="0.25">
      <c r="A204" s="39" t="s">
        <v>536</v>
      </c>
      <c r="B204" s="40">
        <v>32297021</v>
      </c>
    </row>
    <row r="205" spans="1:2" x14ac:dyDescent="0.25">
      <c r="A205" s="39" t="s">
        <v>537</v>
      </c>
      <c r="B205" s="40">
        <v>43042920</v>
      </c>
    </row>
    <row r="206" spans="1:2" x14ac:dyDescent="0.25">
      <c r="A206" s="39" t="s">
        <v>538</v>
      </c>
      <c r="B206" s="40">
        <v>423015</v>
      </c>
    </row>
    <row r="207" spans="1:2" x14ac:dyDescent="0.25">
      <c r="A207" s="39" t="s">
        <v>539</v>
      </c>
      <c r="B207" s="40">
        <v>87470374</v>
      </c>
    </row>
    <row r="208" spans="1:2" x14ac:dyDescent="0.25">
      <c r="A208" s="39" t="s">
        <v>540</v>
      </c>
      <c r="B208" s="40">
        <v>42785840</v>
      </c>
    </row>
    <row r="209" spans="1:2" x14ac:dyDescent="0.25">
      <c r="A209" s="39" t="s">
        <v>541</v>
      </c>
      <c r="B209" s="40">
        <v>1128445920</v>
      </c>
    </row>
    <row r="210" spans="1:2" x14ac:dyDescent="0.25">
      <c r="A210" s="39" t="s">
        <v>542</v>
      </c>
      <c r="B210" s="40">
        <v>3400095</v>
      </c>
    </row>
    <row r="211" spans="1:2" x14ac:dyDescent="0.25">
      <c r="A211" s="39" t="s">
        <v>543</v>
      </c>
      <c r="B211" s="40">
        <v>43107725</v>
      </c>
    </row>
    <row r="212" spans="1:2" x14ac:dyDescent="0.25">
      <c r="A212" s="39" t="s">
        <v>544</v>
      </c>
      <c r="B212" s="40">
        <v>1128476811</v>
      </c>
    </row>
    <row r="213" spans="1:2" x14ac:dyDescent="0.25">
      <c r="A213" s="39" t="s">
        <v>545</v>
      </c>
      <c r="B213" s="40">
        <v>98635968</v>
      </c>
    </row>
    <row r="214" spans="1:2" x14ac:dyDescent="0.25">
      <c r="A214" s="39" t="s">
        <v>546</v>
      </c>
      <c r="B214" s="40">
        <v>1048014259</v>
      </c>
    </row>
    <row r="215" spans="1:2" x14ac:dyDescent="0.25">
      <c r="A215" s="39" t="s">
        <v>547</v>
      </c>
      <c r="B215" s="40">
        <v>71330691</v>
      </c>
    </row>
    <row r="216" spans="1:2" x14ac:dyDescent="0.25">
      <c r="A216" s="39" t="s">
        <v>548</v>
      </c>
      <c r="B216" s="40">
        <v>15484625</v>
      </c>
    </row>
    <row r="217" spans="1:2" x14ac:dyDescent="0.25">
      <c r="A217" s="39" t="s">
        <v>549</v>
      </c>
      <c r="B217" s="40">
        <v>98531399</v>
      </c>
    </row>
    <row r="218" spans="1:2" x14ac:dyDescent="0.25">
      <c r="A218" s="39" t="s">
        <v>550</v>
      </c>
      <c r="B218" s="40">
        <v>12906428</v>
      </c>
    </row>
    <row r="219" spans="1:2" x14ac:dyDescent="0.25">
      <c r="A219" s="39" t="s">
        <v>551</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554</v>
      </c>
    </row>
    <row r="3" spans="1:1" x14ac:dyDescent="0.25">
      <c r="A3" s="37" t="s">
        <v>555</v>
      </c>
    </row>
    <row r="4" spans="1:1" x14ac:dyDescent="0.25">
      <c r="A4" s="37" t="s">
        <v>556</v>
      </c>
    </row>
    <row r="5" spans="1:1" x14ac:dyDescent="0.25">
      <c r="A5" s="37" t="s">
        <v>557</v>
      </c>
    </row>
    <row r="6" spans="1:1" x14ac:dyDescent="0.25">
      <c r="A6" s="37" t="s">
        <v>558</v>
      </c>
    </row>
    <row r="7" spans="1:1" x14ac:dyDescent="0.25">
      <c r="A7" s="37" t="s">
        <v>559</v>
      </c>
    </row>
    <row r="8" spans="1:1" x14ac:dyDescent="0.25">
      <c r="A8" s="37" t="s">
        <v>560</v>
      </c>
    </row>
    <row r="9" spans="1:1" x14ac:dyDescent="0.25">
      <c r="A9" s="37" t="s">
        <v>9</v>
      </c>
    </row>
    <row r="10" spans="1:1" x14ac:dyDescent="0.25">
      <c r="A10" s="37" t="s">
        <v>561</v>
      </c>
    </row>
    <row r="11" spans="1:1" x14ac:dyDescent="0.25">
      <c r="A11" s="37" t="s">
        <v>206</v>
      </c>
    </row>
    <row r="12" spans="1:1" x14ac:dyDescent="0.25">
      <c r="A12" s="37" t="s">
        <v>562</v>
      </c>
    </row>
    <row r="13" spans="1:1" x14ac:dyDescent="0.25">
      <c r="A13" s="37" t="s">
        <v>563</v>
      </c>
    </row>
    <row r="14" spans="1:1" x14ac:dyDescent="0.25">
      <c r="A14" s="37" t="s">
        <v>564</v>
      </c>
    </row>
    <row r="15" spans="1:1" x14ac:dyDescent="0.25">
      <c r="A15" s="37" t="s">
        <v>565</v>
      </c>
    </row>
    <row r="16" spans="1:1" x14ac:dyDescent="0.25">
      <c r="A16" s="37" t="s">
        <v>566</v>
      </c>
    </row>
    <row r="17" spans="1:1" x14ac:dyDescent="0.25">
      <c r="A17" s="37" t="s">
        <v>567</v>
      </c>
    </row>
    <row r="18" spans="1:1" x14ac:dyDescent="0.25">
      <c r="A18" s="37" t="s">
        <v>568</v>
      </c>
    </row>
    <row r="19" spans="1:1" x14ac:dyDescent="0.25">
      <c r="A19" s="37" t="s">
        <v>569</v>
      </c>
    </row>
    <row r="20" spans="1:1" x14ac:dyDescent="0.25">
      <c r="A20" s="37" t="s">
        <v>570</v>
      </c>
    </row>
    <row r="21" spans="1:1" x14ac:dyDescent="0.25">
      <c r="A21" s="37" t="s">
        <v>571</v>
      </c>
    </row>
    <row r="22" spans="1:1" x14ac:dyDescent="0.25">
      <c r="A22" s="37" t="s">
        <v>214</v>
      </c>
    </row>
    <row r="23" spans="1:1" x14ac:dyDescent="0.25">
      <c r="A23" s="37" t="s">
        <v>207</v>
      </c>
    </row>
    <row r="24" spans="1:1" x14ac:dyDescent="0.25">
      <c r="A24" s="37" t="s">
        <v>572</v>
      </c>
    </row>
    <row r="25" spans="1:1" x14ac:dyDescent="0.25">
      <c r="A25" s="37" t="s">
        <v>208</v>
      </c>
    </row>
    <row r="26" spans="1:1" x14ac:dyDescent="0.25">
      <c r="A26" s="37" t="s">
        <v>573</v>
      </c>
    </row>
    <row r="27" spans="1:1" x14ac:dyDescent="0.25">
      <c r="A27" s="37" t="s">
        <v>574</v>
      </c>
    </row>
    <row r="28" spans="1:1" x14ac:dyDescent="0.25">
      <c r="A28" s="37" t="s">
        <v>575</v>
      </c>
    </row>
    <row r="29" spans="1:1" x14ac:dyDescent="0.25">
      <c r="A29" s="37" t="s">
        <v>215</v>
      </c>
    </row>
    <row r="30" spans="1:1" x14ac:dyDescent="0.25">
      <c r="A30" s="37" t="s">
        <v>8</v>
      </c>
    </row>
    <row r="31" spans="1:1" x14ac:dyDescent="0.25">
      <c r="A31" s="37" t="s">
        <v>576</v>
      </c>
    </row>
    <row r="32" spans="1:1" x14ac:dyDescent="0.25">
      <c r="A32" s="37" t="s">
        <v>209</v>
      </c>
    </row>
    <row r="33" spans="1:1" x14ac:dyDescent="0.25">
      <c r="A33" s="37" t="s">
        <v>210</v>
      </c>
    </row>
    <row r="34" spans="1:1" x14ac:dyDescent="0.25">
      <c r="A34" s="37" t="s">
        <v>408</v>
      </c>
    </row>
    <row r="35" spans="1:1" x14ac:dyDescent="0.25">
      <c r="A35" s="37" t="s">
        <v>211</v>
      </c>
    </row>
    <row r="36" spans="1:1" x14ac:dyDescent="0.25">
      <c r="A36" s="37" t="s">
        <v>216</v>
      </c>
    </row>
    <row r="37" spans="1:1" x14ac:dyDescent="0.25">
      <c r="A37" s="37" t="s">
        <v>577</v>
      </c>
    </row>
    <row r="38" spans="1:1" x14ac:dyDescent="0.25">
      <c r="A38" s="37" t="s">
        <v>578</v>
      </c>
    </row>
    <row r="39" spans="1:1" x14ac:dyDescent="0.25">
      <c r="A39" s="37" t="s">
        <v>579</v>
      </c>
    </row>
    <row r="40" spans="1:1" x14ac:dyDescent="0.25">
      <c r="A40" s="37" t="s">
        <v>580</v>
      </c>
    </row>
    <row r="41" spans="1:1" x14ac:dyDescent="0.25">
      <c r="A41" s="37" t="s">
        <v>581</v>
      </c>
    </row>
    <row r="42" spans="1:1" x14ac:dyDescent="0.25">
      <c r="A42" s="37" t="s">
        <v>217</v>
      </c>
    </row>
    <row r="43" spans="1:1" x14ac:dyDescent="0.25">
      <c r="A43" s="37" t="s">
        <v>582</v>
      </c>
    </row>
    <row r="44" spans="1:1" x14ac:dyDescent="0.25">
      <c r="A44" s="37" t="s">
        <v>583</v>
      </c>
    </row>
    <row r="45" spans="1:1" x14ac:dyDescent="0.25">
      <c r="A45" s="37" t="s">
        <v>584</v>
      </c>
    </row>
    <row r="46" spans="1:1" x14ac:dyDescent="0.25">
      <c r="A46" s="37" t="s">
        <v>585</v>
      </c>
    </row>
    <row r="47" spans="1:1" x14ac:dyDescent="0.25">
      <c r="A47" s="37" t="s">
        <v>586</v>
      </c>
    </row>
    <row r="48" spans="1:1" x14ac:dyDescent="0.25">
      <c r="A48" s="37" t="s">
        <v>587</v>
      </c>
    </row>
    <row r="49" spans="1:1" x14ac:dyDescent="0.25">
      <c r="A49" s="37" t="s">
        <v>588</v>
      </c>
    </row>
    <row r="50" spans="1:1" x14ac:dyDescent="0.25">
      <c r="A50" s="37" t="s">
        <v>589</v>
      </c>
    </row>
    <row r="51" spans="1:1" x14ac:dyDescent="0.25">
      <c r="A51" s="37" t="s">
        <v>590</v>
      </c>
    </row>
    <row r="52" spans="1:1" x14ac:dyDescent="0.25">
      <c r="A52" s="37" t="s">
        <v>591</v>
      </c>
    </row>
    <row r="53" spans="1:1" x14ac:dyDescent="0.25">
      <c r="A53" s="37" t="s">
        <v>592</v>
      </c>
    </row>
    <row r="54" spans="1:1" x14ac:dyDescent="0.25">
      <c r="A54" s="37" t="s">
        <v>593</v>
      </c>
    </row>
    <row r="55" spans="1:1" x14ac:dyDescent="0.25">
      <c r="A55" s="37" t="s">
        <v>476</v>
      </c>
    </row>
    <row r="56" spans="1:1" x14ac:dyDescent="0.25">
      <c r="A56" s="37" t="s">
        <v>594</v>
      </c>
    </row>
    <row r="57" spans="1:1" x14ac:dyDescent="0.25">
      <c r="A57" s="37" t="s">
        <v>595</v>
      </c>
    </row>
    <row r="58" spans="1:1" x14ac:dyDescent="0.25">
      <c r="A58" s="37" t="s">
        <v>596</v>
      </c>
    </row>
    <row r="59" spans="1:1" x14ac:dyDescent="0.25">
      <c r="A59" s="37" t="s">
        <v>597</v>
      </c>
    </row>
    <row r="60" spans="1:1" x14ac:dyDescent="0.25">
      <c r="A60" s="37" t="s">
        <v>598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L2" sqref="L2"/>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169</v>
      </c>
      <c r="H1" s="34" t="s">
        <v>171</v>
      </c>
      <c r="I1" s="34" t="s">
        <v>173</v>
      </c>
      <c r="J1" s="34" t="s">
        <v>169</v>
      </c>
      <c r="K1" s="34" t="s">
        <v>197</v>
      </c>
      <c r="L1" s="34" t="s">
        <v>552</v>
      </c>
    </row>
    <row r="2" spans="1:12" ht="25.5" x14ac:dyDescent="0.25">
      <c r="A2" s="22" t="s">
        <v>65</v>
      </c>
      <c r="B2" s="33" t="s">
        <v>61</v>
      </c>
      <c r="C2" s="33" t="s">
        <v>59</v>
      </c>
      <c r="D2" s="22" t="s">
        <v>60</v>
      </c>
      <c r="E2" s="22" t="s">
        <v>64</v>
      </c>
      <c r="F2" s="22" t="s">
        <v>65</v>
      </c>
      <c r="G2" s="23" t="s">
        <v>170</v>
      </c>
      <c r="H2" s="23" t="s">
        <v>172</v>
      </c>
      <c r="I2" s="23" t="s">
        <v>407</v>
      </c>
      <c r="K2" s="32"/>
      <c r="L2" s="23" t="s">
        <v>553</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2022-07-01T12:46:24Z</dcterms:modified>
</cp:coreProperties>
</file>