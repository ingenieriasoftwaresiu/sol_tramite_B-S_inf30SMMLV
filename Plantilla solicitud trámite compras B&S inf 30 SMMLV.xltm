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2868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Parámetros_Proyectos!$A$1:$D$242</definedName>
    <definedName name="ADMINISTRACIÓN">Parámetros_Proyectos!$B$2</definedName>
    <definedName name="ALIMENTACIÓN_Y_NUTRICIÓN_HUMANA">Parámetros_Proyectos!$B$3:$B$5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Parámetros_Proyectos!$B$6:$B$11</definedName>
    <definedName name="CATÁLISIS_AMBIENTAL">Parámetros_Proyectos!$B$12:$B$18</definedName>
    <definedName name="CATALIZADORES_Y_ABSORBENTES">Parámetros_Proyectos!$B$19:$B$20</definedName>
    <definedName name="CEDAIT">Parámetros_Proyectos!$B$21:$B$29</definedName>
    <definedName name="CIDEMAT">Parámetros_Proyectos!$B$30:$B$49</definedName>
    <definedName name="CIENCIA_DE_LOS_MATERIALES">Parámetros_Proyectos!$B$50:$B$58</definedName>
    <definedName name="CITOMETRÍA">Parámetros_Proyectos!$B$59</definedName>
    <definedName name="DIAGNÓSTICO_Y_CONTROL_DE_LA_CONTAMINACIÓN">Parámetros_Proyectos!$B$60:$B$70</definedName>
    <definedName name="DIDÁCTICA_Y_NUEVAS_TECNOLOGÍAS">Parámetros_Proyectos!$B$71:$B$73</definedName>
    <definedName name="DIRECCIÓN_DE_POSGRADOS">Parámetros_Proyectos!$B$74</definedName>
    <definedName name="EPIDEMIOLOGÍA">Parámetros_Proyectos!$B$75</definedName>
    <definedName name="ESTADO_SÓLIDO">Parámetros_Proyectos!$B$76:$B$81</definedName>
    <definedName name="FÍSICA_ATÓMICA">Parámetros_Proyectos!$B$82:$B$84</definedName>
    <definedName name="GAIA">Parámetros_Proyectos!$B$85:$B$86</definedName>
    <definedName name="GASTROHEPATOLOGÍA">Parámetros_Proyectos!$B$87:$B$90</definedName>
    <definedName name="GASURE">Parámetros_Proyectos!$B$91</definedName>
    <definedName name="GENÉTICA_MOLECULAR">Parámetros_Proyectos!$B$92:$B$97</definedName>
    <definedName name="GENÉTICA_REGENERACIÓN_Y_CÁNCER">Parámetros_Proyectos!$B$98:$B$99</definedName>
    <definedName name="GENÉTICA_Y_BIOQUÍMICA_DE_MICROORGANISMOS">Parámetros_Proyectos!$B$100</definedName>
    <definedName name="GIMEL">Parámetros_Proyectos!$B$101:$B$102</definedName>
    <definedName name="GMMT">Parámetros_Proyectos!$B$103:$B$104</definedName>
    <definedName name="GRID">Parámetros_Proyectos!$B$105</definedName>
    <definedName name="Grupo_de_Bioquímica_Estructural_de_Macromoléculas">Parámetros_Proyectos!$B$106</definedName>
    <definedName name="Grupos">Parámetros_Grupos!$A$2:$A$60</definedName>
    <definedName name="HISTORIA_DE_LA_PRÁCTICA_PEDAGÓGICA_EN_COLOMBIA">Parámetros_Proyectos!$B$107</definedName>
    <definedName name="INMUNODEFICIENCIAS_PRIMARIAS">Parámetros_Proyectos!$B$108:$B$113</definedName>
    <definedName name="INMUNOVIROLOGÍA">Parámetros_Proyectos!$B$114:$B$128</definedName>
    <definedName name="MALARIA">Parámetros_Proyectos!$B$129:$B$134</definedName>
    <definedName name="MAX_PLANCK">Parámetros_Proyectos!$B$135:$B$140</definedName>
    <definedName name="MEDIO_AMBIENTE_Y_SOCIEDAD">Parámetros_Proyectos!$B$141:$B$144</definedName>
    <definedName name="NEUROCIENCIAS">Parámetros_Proyectos!$B$145:$B$159</definedName>
    <definedName name="OPTICA">Parámetros_Proyectos!$B$160:$B$164</definedName>
    <definedName name="PECET">Parámetros_Proyectos!$B$165:$B$185</definedName>
    <definedName name="PHYSIS">Parámetros_Proyectos!$B$186:$B$187</definedName>
    <definedName name="PROCESOS_FISICOQUIMICOS_APLICADOS">Parámetros_Proyectos!$B$188:$B$190</definedName>
    <definedName name="PROCESOS_QUIMICOS_INDUSTRIALES">Parámetros_Proyectos!$B$191:$B$200</definedName>
    <definedName name="QUÍMICA_DE_RECURSOS_ENERGÉTICOS">Parámetros_Proyectos!$B$201:$B$208</definedName>
    <definedName name="QUÍMICA_ORGÁNICA_DE_PRODUCTOS_NATURALES">Parámetros_Proyectos!$B$209:$B$216</definedName>
    <definedName name="REHABILITACIÓN_EN_SALUD">Parámetros_Proyectos!$B$217:$B$218</definedName>
    <definedName name="Remediación_Ambiental_y_Biocatálisis">Parámetros_Proyectos!$B$219:$B$221</definedName>
    <definedName name="REPRODUCCIÓN">Parámetros_Proyectos!$B$222:$B$225</definedName>
    <definedName name="SÉNECA">Parámetros_Proyectos!$B$226:$B$241</definedName>
    <definedName name="SUSTANCIAS_BIOACTIVAS">Parámetros_Proyectos!$B$242:$B$244</definedName>
    <definedName name="Toxinología_Alternativas_Terapéuticas_y_Alimentarias">Parámetros_Proyectos!$B$245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 i="2" l="1"/>
  <c r="G14" i="2" l="1"/>
  <c r="C14" i="2"/>
  <c r="I29" i="4" l="1"/>
  <c r="K41" i="2"/>
</calcChain>
</file>

<file path=xl/sharedStrings.xml><?xml version="1.0" encoding="utf-8"?>
<sst xmlns="http://schemas.openxmlformats.org/spreadsheetml/2006/main" count="1190" uniqueCount="908">
  <si>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</si>
  <si>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</si>
  <si>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</si>
  <si>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</si>
  <si>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</si>
  <si>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</si>
  <si>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</si>
  <si>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</si>
  <si>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EPIDEMIOLOGÍA</t>
  </si>
  <si>
    <t>GASTROHEPATOLOGÍA</t>
  </si>
  <si>
    <t>GICIG</t>
  </si>
  <si>
    <t>INMUNOVIROLOGÍA</t>
  </si>
  <si>
    <t>MALARIA</t>
  </si>
  <si>
    <t>NEUROCIENCIAS</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</si>
  <si>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</si>
  <si>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</si>
  <si>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</si>
  <si>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</si>
  <si>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</si>
  <si>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</si>
  <si>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</si>
  <si>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</si>
  <si>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</si>
  <si>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</si>
  <si>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</si>
  <si>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</si>
  <si>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</si>
  <si>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</si>
  <si>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</si>
  <si>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</si>
  <si>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</si>
  <si>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</si>
  <si>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</si>
  <si>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</si>
  <si>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</si>
  <si>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</si>
  <si>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</si>
  <si>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</si>
  <si>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</si>
  <si>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</si>
  <si>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</si>
  <si>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</si>
  <si>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</si>
  <si>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</si>
  <si>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</si>
  <si>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</si>
  <si>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</si>
  <si>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</si>
  <si>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</si>
  <si>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</si>
  <si>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</si>
  <si>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</si>
  <si>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</si>
  <si>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</si>
  <si>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</si>
  <si>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</si>
  <si>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</si>
  <si>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</si>
  <si>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</si>
  <si>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</si>
  <si>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</si>
  <si>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</si>
  <si>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</si>
  <si>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</si>
  <si>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</si>
  <si>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</si>
  <si>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</si>
  <si>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</si>
  <si>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</si>
  <si>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</si>
  <si>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</si>
  <si>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</si>
  <si>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</si>
  <si>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</si>
  <si>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</si>
  <si>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</si>
  <si>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</si>
  <si>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</si>
  <si>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</si>
  <si>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</si>
  <si>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</si>
  <si>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</si>
  <si>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</si>
  <si>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</si>
  <si>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</si>
  <si>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</si>
  <si>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</si>
  <si>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</si>
  <si>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</si>
  <si>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</si>
  <si>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</si>
  <si>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</si>
  <si>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</si>
  <si>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</si>
  <si>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18-1-636</t>
  </si>
  <si>
    <t>18-1-670</t>
  </si>
  <si>
    <t>18-1-858</t>
  </si>
  <si>
    <t>37-1-676</t>
  </si>
  <si>
    <t>37-1-759</t>
  </si>
  <si>
    <t>37-1-746</t>
  </si>
  <si>
    <t>37-1-824</t>
  </si>
  <si>
    <t>15-1-673</t>
  </si>
  <si>
    <t>15-1-677</t>
  </si>
  <si>
    <t>15-1-825</t>
  </si>
  <si>
    <t>15-1-843</t>
  </si>
  <si>
    <t>15-1-844</t>
  </si>
  <si>
    <t>15-1-864</t>
  </si>
  <si>
    <t>15-1-866</t>
  </si>
  <si>
    <t>14-1-733</t>
  </si>
  <si>
    <t>14-1-830</t>
  </si>
  <si>
    <t>14-1-869</t>
  </si>
  <si>
    <t>ES84170135</t>
  </si>
  <si>
    <t>ES84170137</t>
  </si>
  <si>
    <t>11-1-772</t>
  </si>
  <si>
    <t>ES84170132</t>
  </si>
  <si>
    <t>11-1-874</t>
  </si>
  <si>
    <t>11-1-886</t>
  </si>
  <si>
    <t>26-1-719</t>
  </si>
  <si>
    <t>24-1-748</t>
  </si>
  <si>
    <t>24-1-868</t>
  </si>
  <si>
    <t>ES84170121</t>
  </si>
  <si>
    <t>25-1-876</t>
  </si>
  <si>
    <t>20-1-669</t>
  </si>
  <si>
    <t>20-1-784</t>
  </si>
  <si>
    <t>31-1-794</t>
  </si>
  <si>
    <t>31-1-728</t>
  </si>
  <si>
    <t>12-1-692</t>
  </si>
  <si>
    <t>12-1-831</t>
  </si>
  <si>
    <t>13-1-771</t>
  </si>
  <si>
    <t>13-1-880</t>
  </si>
  <si>
    <t>51-1-884</t>
  </si>
  <si>
    <t>54-1-841</t>
  </si>
  <si>
    <t>07-1-664</t>
  </si>
  <si>
    <t>07-1-769</t>
  </si>
  <si>
    <t>07-1-826</t>
  </si>
  <si>
    <t>07-1-834</t>
  </si>
  <si>
    <t>07-1-908</t>
  </si>
  <si>
    <t>08-1-727</t>
  </si>
  <si>
    <t>08-1-715</t>
  </si>
  <si>
    <t>08-1-855</t>
  </si>
  <si>
    <t>08-1-865</t>
  </si>
  <si>
    <t>08-1-886</t>
  </si>
  <si>
    <t>08-1-901</t>
  </si>
  <si>
    <t>32-1-730</t>
  </si>
  <si>
    <t>52-1-701</t>
  </si>
  <si>
    <t>52-1-704</t>
  </si>
  <si>
    <t>52-1-705</t>
  </si>
  <si>
    <t>52-1-779</t>
  </si>
  <si>
    <t>52-1-894</t>
  </si>
  <si>
    <t>52-1-909</t>
  </si>
  <si>
    <t>47-1-821</t>
  </si>
  <si>
    <t>10-1-724</t>
  </si>
  <si>
    <t>10-1-839</t>
  </si>
  <si>
    <t>ES84170165</t>
  </si>
  <si>
    <t>10-1-716</t>
  </si>
  <si>
    <t>10-1-734</t>
  </si>
  <si>
    <t>10-1-773</t>
  </si>
  <si>
    <t>10-1-726</t>
  </si>
  <si>
    <t>10-1-879</t>
  </si>
  <si>
    <t>10-1-782</t>
  </si>
  <si>
    <t>10-1-882</t>
  </si>
  <si>
    <t>10-1-881</t>
  </si>
  <si>
    <t>10-1-899</t>
  </si>
  <si>
    <t>23-1-762</t>
  </si>
  <si>
    <t>23-1-885</t>
  </si>
  <si>
    <t>05-1-721</t>
  </si>
  <si>
    <t>58-1-862</t>
  </si>
  <si>
    <t>40-1-779</t>
  </si>
  <si>
    <t>50-1-788</t>
  </si>
  <si>
    <t>50-1-789</t>
  </si>
  <si>
    <t>50-1-906</t>
  </si>
  <si>
    <t>17-1-695</t>
  </si>
  <si>
    <t>22-1-790</t>
  </si>
  <si>
    <t>22-1-684</t>
  </si>
  <si>
    <t>22-1-878</t>
  </si>
  <si>
    <t>42-1-785</t>
  </si>
  <si>
    <t>09-1-832</t>
  </si>
  <si>
    <t>ES84170175</t>
  </si>
  <si>
    <t>09-1-895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</si>
  <si>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</si>
  <si>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</si>
  <si>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</si>
  <si>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</si>
  <si>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</si>
  <si>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</si>
  <si>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</si>
  <si>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</si>
  <si>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</si>
  <si>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</si>
  <si>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</si>
  <si>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</si>
  <si>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</si>
  <si>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</si>
  <si>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</si>
  <si>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</si>
  <si>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</si>
  <si>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</si>
  <si>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62-1-896</t>
  </si>
  <si>
    <t>Establecimiento de una plataforma biotecnológica para la innovación en biohidrocarburos a partir de microalgas</t>
  </si>
  <si>
    <t xml:space="preserve">Ingeniería genética: Estrategia molecular para el mejoramiento del proceso de producción ficobilirpoteinas a partir de la microalga Porphyridium cruentum </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</si>
  <si>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</si>
  <si>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</si>
  <si>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</si>
  <si>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</si>
  <si>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Desarrollo de cátodos híbridos para bacterias de ion litio aplicables a sistemas de generación intermitente y sistemas no integrados</t>
  </si>
  <si>
    <t>Desarrollo de materiales ligeros modificados para su aplicación en implementos para la movilidad en personas en situación de discapacidad</t>
  </si>
  <si>
    <t>Desarrollo de nuevos materiales semiconductores para la obtención de hidrógeno como combustible solar</t>
  </si>
  <si>
    <t>Obtención de nuevas aleaciones ligeras de alto valor agregado para contribuir al desarrollo de las indrustrias de Biomateriales y aeronáutica del País</t>
  </si>
  <si>
    <t>Development of a thermal energy storage system with a wide temperature range using a natural mineral mixture as porous support of a phase change material</t>
  </si>
  <si>
    <t>Preparación de biomateriales antimicrobianos solidos mediante inmovilizacion del peptido KR-12 y analogos en materiales siliceos, y evaluacion de su comportamiento en gel de fibrina para apositos. Codigo: 111577757023</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</si>
  <si>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</si>
  <si>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</si>
  <si>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de polvos multifuncionales mediante proceso sol-gel de sílice y suevaluación in vitro como sistemas de dosificación de suplementos dietarios enzimáticos y minerales</t>
  </si>
  <si>
    <t>Evaluación de la presencia de Cryptosporidium parvum y Giardia lamblia en aguas crudas y tratadas en zonas rurales del Área Metropolitana del Valle de Aburra</t>
  </si>
  <si>
    <t>Comparación del efecto de diferentes sistemas de tratamiento de aguas residuales municipales en la dinámica de bacterias resistentes a antibióticos</t>
  </si>
  <si>
    <t>Proyecto para el diseño e implementación de un prototipo para la extracción de almidón a partir de papas de decarte con el objeto de generar un banco de prueba para estudios de valor agregado</t>
  </si>
  <si>
    <t>Tecnologías de oxidación avanzada basadas en radicales de aniones sulfato y su aplicación en la remoción de antibióticos</t>
  </si>
  <si>
    <t>Investigación temática para la construcción de euna propuesta educativa sobre la crianza apoyada en TIC, en la Vereda granizal, Bello, 2017-2020</t>
  </si>
  <si>
    <t>Dynamical phase transitions study in a Co1-xRux magnetic system of two-dimentional Ising-type.</t>
  </si>
  <si>
    <t>Entrelazamiento, coherencia y correlación en sistemas atómicos y moleculares</t>
  </si>
  <si>
    <t>Redes de espines interactuantes</t>
  </si>
  <si>
    <t xml:space="preserve">Estimación de riesgo de cáncer por exposición a reconocidos carcinógenos asociados al material particulado respirable en el Área Matropolitana del Valle de Aburrá (AMVA)- Antioquia </t>
  </si>
  <si>
    <t>Cambio climáticos durane las dos últimas centurias en los tres valles: Aburrá, San Nicolás y Santa fé de Antioquia por quimio estratigrafia de alta resolución asistida por micro fluorescencia - x (uXRF)</t>
  </si>
  <si>
    <t>Expedición virológica en ecosistemas representativos de Colombia: Selva húmeda tropical de la Sierra Nevada de Santa Marta</t>
  </si>
  <si>
    <t>Prevalencia y modelación de la infección por virus de la hepatitis C en Colombia</t>
  </si>
  <si>
    <t>Análisis estructural y funcional de las proteínas Presenilina 1 y presenilina-2 componentes del complejo gama secretasa y su relación con la enfermedad de Alzheimer familiar</t>
  </si>
  <si>
    <t xml:space="preserve">Desarrollo de un prototipo fitoterapeútico basado en triterpenos encapsulados en nanovehículos para el tratamiento de la diabetes mellitus tipo 2 </t>
  </si>
  <si>
    <t>Citogenotoxicidad geográfica de contaminantes atmosféricos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</si>
  <si>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</si>
  <si>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</si>
  <si>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Disección genetica de los errores innatos de la inmunidad</t>
  </si>
  <si>
    <t>Inmunological and Genetic characterization of Colombian patients with Epidermodysplasia Verruciformis (EV) and Recalcitrant Warts (RW)</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</si>
  <si>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</si>
  <si>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</si>
  <si>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</si>
  <si>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Evaluación del papel de la vitamina D en la expresión de receptores tipo Toll, citoquinas y microRNA en respuesta a la infección por los virus Chikungunya y Zika</t>
  </si>
  <si>
    <t>Potential inmunognicity of mutated epitopes derived from HIV-1 gag restricted to CD8+ T cells in chronically infected patients from medellin.</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</si>
  <si>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</si>
  <si>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</si>
  <si>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</si>
  <si>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 xml:space="preserve">Perfil transcriptómico para determinar el papel de la vitamina D en la modulación de la respuesta inflamatoria, antiviral y estrés celular en macrófagos infectados por el virus del dengue. </t>
  </si>
  <si>
    <t xml:space="preserve">Síntesis y caracterización de péptidos a partir de venenos de arañas: hacia el desarrollo de nuevos antimicrobianos </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</si>
  <si>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</si>
  <si>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</si>
  <si>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</si>
  <si>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</si>
  <si>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 xml:space="preserve">Nanobiosensores para la detección rapida de SARS-CoV-2 </t>
  </si>
  <si>
    <t>Identificación y caracterización de las proteínas del fluido seminal del vector del dengue (Aedes aegypti) necesarias para la reproducción, como blancos potenciales para el control de las poblaciones de mosquitos en Colombia.</t>
  </si>
  <si>
    <t>DRUA WANDRA. Caracterización de la Flora y Fauna de los sitios sagrados de polines y yaberadó, resguardos del pueblo Embera de Chigorodó (Antioquia)</t>
  </si>
  <si>
    <t>Parkinsons disease genetic risk factors in Latino populations</t>
  </si>
  <si>
    <t xml:space="preserve">Desarrollo de cultivos 3D de pacientes con Alzheimer PSEN1 E280A con aplicación en diseños terapéuticos </t>
  </si>
  <si>
    <t>Factores fosfolípidicos convergentes en tauopatía, daño cognitivo y demencia vascular: causas agudas, crónicas y genéticas</t>
  </si>
  <si>
    <t>Implicación de los Astrocitos de Alzheimer en la estabilidad de la unidad neurovascular: hacia un desarrollo biotecnológico</t>
  </si>
  <si>
    <t>Astrocitos-CDK5 RNAi como modulador de la sinápsis: Perspectiva en terapia celular</t>
  </si>
  <si>
    <t>Estudio preclínico de moléculas promisorias en el tratamiento de pacientes pediatricos con leusemias agudas con mala respuesta a los tratamientos convencionales</t>
  </si>
  <si>
    <t>Desarrollo del proceso de formulación del prototipo LEUKOPOP 2T y su estudio farmacológico en un modelo de leucemia</t>
  </si>
  <si>
    <t xml:space="preserve">Riesgo asociado a infecciones persistentes por diferentes agentes infecciosos y el desarrollo de la enfermedad de Alzheimer </t>
  </si>
  <si>
    <t>Diseño de una terapia combinada para el tratamiento de la enfermedad de Alzheimer familiar con mutación en la presenilina 1</t>
  </si>
  <si>
    <t>Medidas dinámicas de calidad y desempeño visual usando óptica adaptativa y óptica activa</t>
  </si>
  <si>
    <t>Uso de bacteriófagos líticos para el manejo del Moko del plátano y evaluar su efectividad e impacto a nivel de campo</t>
  </si>
  <si>
    <t>Antilehismanial arnica preparations</t>
  </si>
  <si>
    <t>Búsqueda y validación de nuevos inhibidores de los transportadores de membrana de la familia MMPL de Mycobacterium tuberculosis como nuevos agentes antimicrobianos con potencial terapéutico</t>
  </si>
  <si>
    <t>Validación biofísica y funcional de un inhibidor alostérico del dominio pleckstrin de la quinasa AKT-like de Trypanosoma cruzi como alternativa terapéutica para la enfermedad de Chagas.</t>
  </si>
  <si>
    <t>Identificación de nuevos RNA pequeños no codificantes exosomales y de sus mecanísmos angiogénicos en cáncer cervical y de colón</t>
  </si>
  <si>
    <t>Propiedades redox de perovskitas LaBO3 (B: Mn, Fe, Co, Ni) y su efecto sobre la oxidación de Co</t>
  </si>
  <si>
    <t>Búsqueda de metabolitos secundarios anti virulentos como estrategia para el control del patógeno Klebsiella Pneumoniae, fase II</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</si>
  <si>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</si>
  <si>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</si>
  <si>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Factores asociados al reintegro ocupacional un año después en pacientes con  trauma craneocenfálico (TCE) moderado y grave ocurrido en Medellín y su área metropolitana entre 2018 y 2019</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</si>
  <si>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</si>
  <si>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</si>
  <si>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</si>
  <si>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</si>
  <si>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</si>
  <si>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</si>
  <si>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</si>
  <si>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</si>
  <si>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</si>
  <si>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</si>
  <si>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</si>
  <si>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</si>
  <si>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</si>
  <si>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</si>
  <si>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</si>
  <si>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</si>
  <si>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</si>
  <si>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 xml:space="preserve">Rastreo biodirigidode moléculas anticancerigenas inspiradas en productos naturales: Un enfoque integrado y aplicado a las especies amaryllidaceae </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</si>
  <si>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</si>
  <si>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</si>
  <si>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</si>
  <si>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</si>
  <si>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</si>
  <si>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</si>
  <si>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</si>
  <si>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</si>
  <si>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</si>
  <si>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</si>
  <si>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</si>
  <si>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</si>
  <si>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</si>
  <si>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</si>
  <si>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</si>
  <si>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</si>
  <si>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</si>
  <si>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</si>
  <si>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</si>
  <si>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</si>
  <si>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</si>
  <si>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</si>
  <si>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</si>
  <si>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</si>
  <si>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</si>
  <si>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</si>
  <si>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</si>
  <si>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</si>
  <si>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</si>
  <si>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</si>
  <si>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</si>
  <si>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</si>
  <si>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</si>
  <si>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</si>
  <si>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</si>
  <si>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</si>
  <si>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</si>
  <si>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</si>
  <si>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</si>
  <si>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13-1-910</t>
  </si>
  <si>
    <t>ADMINISTRACIÓN</t>
  </si>
  <si>
    <t>BIOPROCESOS</t>
  </si>
  <si>
    <t>BIOTECNOLOGÍA</t>
  </si>
  <si>
    <t>CARCINOGENESIS</t>
  </si>
  <si>
    <t>CENTAURO</t>
  </si>
  <si>
    <t>CIDEMAT</t>
  </si>
  <si>
    <t>CITOMETRÍA</t>
  </si>
  <si>
    <t>CRESCA</t>
  </si>
  <si>
    <t>GAIA</t>
  </si>
  <si>
    <t>GASURE</t>
  </si>
  <si>
    <t>GIMEL</t>
  </si>
  <si>
    <t>GMMT</t>
  </si>
  <si>
    <t>GRIPE</t>
  </si>
  <si>
    <t>OPTICA</t>
  </si>
  <si>
    <t>PECET</t>
  </si>
  <si>
    <t>PHYSIS</t>
  </si>
  <si>
    <t>REPRODUCCIÓN</t>
  </si>
  <si>
    <t>SÉNECA</t>
  </si>
  <si>
    <t>GRUPO DE PROYECTO</t>
  </si>
  <si>
    <t>NOMBRE DE PROYECTO</t>
  </si>
  <si>
    <t>CATÁLISIS_AMBIENTAL</t>
  </si>
  <si>
    <t>CIENCIA_DE_LOS_MATERIALES</t>
  </si>
  <si>
    <t>DIAGNÓSTICO_Y_CONTROL_DE_LA_CONTAMINACIÓN</t>
  </si>
  <si>
    <t>DIDÁCTICA_Y_NUEVAS_TECNOLOGÍAS</t>
  </si>
  <si>
    <t>DIRECCIÓN_DE_POSGRADOS</t>
  </si>
  <si>
    <t>ALIMENTACIÓN_Y_NUTRICIÓN_HUMANA</t>
  </si>
  <si>
    <t>BIOLOGIA_Y_CONTROL_DE_ENFERMEDADES_INFECCIOSAS_-_BCEI</t>
  </si>
  <si>
    <t>CATALIZADORES_Y_ADSORBENTES</t>
  </si>
  <si>
    <t>ESTADO_SÓLIDO</t>
  </si>
  <si>
    <t>FENOMENOLOGÍA_DE_INTERACCIONES_FUNDAMENTALES</t>
  </si>
  <si>
    <t>FÍSICA_ATÓMICA</t>
  </si>
  <si>
    <t>FONDO_ANIMALES_LABORATORIO</t>
  </si>
  <si>
    <t>GENÉTICA_MOLECULAR</t>
  </si>
  <si>
    <t>GENÉTICA_Y_BIOQUÍMICA_DE_MICROORGANISMOS</t>
  </si>
  <si>
    <t>Grupo_de_Bioquímica_Estructural_de_Macromoléculas</t>
  </si>
  <si>
    <t>HISTORIA_DE_LA_PRÁCTICA_PEDAGÓGICA_EN_COLOMBIA</t>
  </si>
  <si>
    <t>INMUNODEFICIENCIAS_PRIMARIAS</t>
  </si>
  <si>
    <t>INVESTIGACIÓN_Y_DESARROLLO_EN_INGENIERIA_WEB</t>
  </si>
  <si>
    <t>LABORATORIO_DE_INVESTIGACIÓN_EN_POLÍMEROS(LIPOL)</t>
  </si>
  <si>
    <t>MAX_PLANCK</t>
  </si>
  <si>
    <t>MEDICINA_MOLECULAR_Y_DE_TRASLACIÓN</t>
  </si>
  <si>
    <t>MEDIO_AMBIENTE_Y_SOCIEDAD</t>
  </si>
  <si>
    <t>PROCESOS_FISICOQUIMICOS_APLICADOS</t>
  </si>
  <si>
    <t>PROCESOS_QUIMICOS_INDUSTRIALES</t>
  </si>
  <si>
    <t>QUÍMICA_DE_RECURSOS_ENERGÉTICOS</t>
  </si>
  <si>
    <t>QUÍMICA_ORGÁNICA_DE_PRODUCTOS_NATURALES</t>
  </si>
  <si>
    <t>REHABILITACIÓN_EN_SALUD</t>
  </si>
  <si>
    <t>SUSTANCIAS_BIOACTIVAS</t>
  </si>
  <si>
    <t>GENÉTICA_REGENERACIÓN_Y_CÁNCER</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</si>
  <si>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</si>
  <si>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</si>
  <si>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</si>
  <si>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</si>
  <si>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</si>
  <si>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</si>
  <si>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</si>
  <si>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</si>
  <si>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</si>
  <si>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</si>
  <si>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</si>
  <si>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</si>
  <si>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</si>
  <si>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</si>
  <si>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</si>
  <si>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</si>
  <si>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</si>
  <si>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</si>
  <si>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</si>
  <si>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</si>
  <si>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</si>
  <si>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</si>
  <si>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</si>
  <si>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</si>
  <si>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</si>
  <si>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</si>
  <si>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</si>
  <si>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</si>
  <si>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</si>
  <si>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</si>
  <si>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</si>
  <si>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</si>
  <si>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</si>
  <si>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</si>
  <si>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</si>
  <si>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</si>
  <si>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</si>
  <si>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</si>
  <si>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</si>
  <si>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</si>
  <si>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</si>
  <si>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</si>
  <si>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</si>
  <si>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</si>
  <si>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</si>
  <si>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</si>
  <si>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</si>
  <si>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</si>
  <si>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</si>
  <si>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</si>
  <si>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</si>
  <si>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</si>
  <si>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</si>
  <si>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</si>
  <si>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</si>
  <si>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</si>
  <si>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</si>
  <si>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</si>
  <si>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</si>
  <si>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</si>
  <si>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</si>
  <si>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</si>
  <si>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</si>
  <si>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</si>
  <si>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</si>
  <si>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</si>
  <si>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</si>
  <si>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</si>
  <si>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</si>
  <si>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</si>
  <si>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</si>
  <si>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</si>
  <si>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</si>
  <si>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</si>
  <si>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</si>
  <si>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</si>
  <si>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</si>
  <si>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</si>
  <si>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</si>
  <si>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</si>
  <si>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</si>
  <si>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</si>
  <si>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</si>
  <si>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</si>
  <si>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</si>
  <si>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</si>
  <si>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</si>
  <si>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</si>
  <si>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</si>
  <si>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</si>
  <si>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</si>
  <si>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</si>
  <si>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</si>
  <si>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</si>
  <si>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</si>
  <si>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</si>
  <si>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</si>
  <si>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</si>
  <si>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</si>
  <si>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</si>
  <si>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</si>
  <si>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</si>
  <si>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</si>
  <si>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</si>
  <si>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</si>
  <si>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</si>
  <si>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</si>
  <si>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</si>
  <si>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</si>
  <si>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</si>
  <si>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</si>
  <si>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</si>
  <si>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</si>
  <si>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</si>
  <si>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</si>
  <si>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</si>
  <si>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</si>
  <si>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</si>
  <si>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</si>
  <si>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</si>
  <si>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</si>
  <si>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</si>
  <si>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</si>
  <si>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</si>
  <si>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</si>
  <si>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</si>
  <si>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</si>
  <si>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</si>
  <si>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</si>
  <si>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</si>
  <si>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</si>
  <si>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</si>
  <si>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</si>
  <si>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</si>
  <si>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</si>
  <si>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</si>
  <si>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</si>
  <si>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</si>
  <si>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</si>
  <si>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</si>
  <si>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</si>
  <si>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</si>
  <si>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</si>
  <si>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</si>
  <si>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</si>
  <si>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</si>
  <si>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</si>
  <si>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</si>
  <si>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</si>
  <si>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</si>
  <si>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</si>
  <si>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</si>
  <si>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</si>
  <si>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</si>
  <si>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</si>
  <si>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</si>
  <si>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</si>
  <si>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</si>
  <si>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</si>
  <si>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</si>
  <si>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</si>
  <si>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</si>
  <si>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</si>
  <si>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</si>
  <si>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</si>
  <si>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</si>
  <si>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</si>
  <si>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</si>
  <si>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</si>
  <si>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</si>
  <si>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</si>
  <si>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</si>
  <si>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</si>
  <si>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</si>
  <si>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</si>
  <si>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</si>
  <si>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</si>
  <si>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</si>
  <si>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</si>
  <si>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</si>
  <si>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</si>
  <si>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</si>
  <si>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</si>
  <si>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</si>
  <si>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</si>
  <si>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</si>
  <si>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Evaluación de una prueba rápida de detección de antígeno y la cuantificación del genoma viral como marcadores de infección y de contagiosidad en la infección por SARS-CoV-2 en una población del Área Metropolitana del Valle de Aburrá.</t>
  </si>
  <si>
    <t>Evaluación in silico e in vitro de la actividad anti-SARS-CoV-2 de medicamentos de segundo uso.</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</si>
  <si>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</si>
  <si>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11-1-921</t>
  </si>
  <si>
    <t>11-1-929</t>
  </si>
  <si>
    <t>08-1-919</t>
  </si>
  <si>
    <t>08-1-920</t>
  </si>
  <si>
    <t>23-1-925</t>
  </si>
  <si>
    <t>17-1-911</t>
  </si>
  <si>
    <t>17-1-923</t>
  </si>
  <si>
    <t>\\172.30.200.20\Publico\BD_Proveedores.xlsx</t>
  </si>
  <si>
    <t>GRID</t>
  </si>
  <si>
    <t>15-1-932</t>
  </si>
  <si>
    <t>Desde residuos del petróleo hacia materiales para dispositivos de almacenamiento de energía de alta potencia. CV84200105</t>
  </si>
  <si>
    <t>15-1-939</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</si>
  <si>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</si>
  <si>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</si>
  <si>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</si>
  <si>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</si>
  <si>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Extensión 2021</t>
  </si>
  <si>
    <t>29-2-003-2021</t>
  </si>
  <si>
    <t>Seguimiento del SARS-CoV-2 en aguas residuales de municipios Covid y No- Covid 19 del departamento de Antioquia, como herramienta de monitoreo epidemiológico, alerta temprana y apoyo a la toma de decisiones en salud pública.</t>
  </si>
  <si>
    <t>11-1-931</t>
  </si>
  <si>
    <t>11-1-938</t>
  </si>
  <si>
    <t xml:space="preserve">Identificación de la arquitectura genómica de isla de resistencia en el resistoma de Pseudomonas aruginosas Pseudonomas </t>
  </si>
  <si>
    <t>63-1-943</t>
  </si>
  <si>
    <t>Establecimiento del modelo GBA con la mutación K198E de pacientes con Parkinson en Antioquia</t>
  </si>
  <si>
    <t>Aprovechamiento del potencial energético de residuos agrícolas disponibles en Colombia para generar electricidad, mediante procesos termoquímicos de gasificación. CV84200104</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</si>
  <si>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</si>
  <si>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</si>
  <si>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</si>
  <si>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</si>
  <si>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</si>
  <si>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 xml:space="preserve">Validación precomercial de un nuevo biofungicida de uso agrícola para la protección de cultivos </t>
  </si>
  <si>
    <t>22-1-912</t>
  </si>
  <si>
    <t>ES84190024</t>
  </si>
  <si>
    <t>Evaluación del uso potencial de relaves generados en la extracción de minerales en el proyecto Quebradona municipio de Jericó. Aplicación en el mejoramiento de propiedades ingenieriles de suelos viales. CV84200102</t>
  </si>
  <si>
    <t>40-1-927</t>
  </si>
  <si>
    <t>Implementación de la cooperación entre la Universidad y el experimento CMS de la Organización Europea para la Investigación Nuclear - CERN</t>
  </si>
  <si>
    <t>ES03160200</t>
  </si>
  <si>
    <t>ES84180124</t>
  </si>
  <si>
    <t>ES84190058</t>
  </si>
  <si>
    <t>ES84180115</t>
  </si>
  <si>
    <t>ES84190064</t>
  </si>
  <si>
    <t>Fijación de CO2 en epóxidos de aceites esenciales para la síntesis de carbonatos cíclicos mediante procesos catalíticos heterogéneos</t>
  </si>
  <si>
    <t>ES84200113</t>
  </si>
  <si>
    <t>ES84180112</t>
  </si>
  <si>
    <t>Desarrollo y fabricación de componentes para celdas solares de perovskita a escala semi-industrial</t>
  </si>
  <si>
    <t>ES84190158</t>
  </si>
  <si>
    <t>ES84180145</t>
  </si>
  <si>
    <t>ES84200102</t>
  </si>
  <si>
    <t>11-1-675</t>
  </si>
  <si>
    <t>ES84180118</t>
  </si>
  <si>
    <t>ES84190073</t>
  </si>
  <si>
    <t>ES84180152</t>
  </si>
  <si>
    <t>ES84180123</t>
  </si>
  <si>
    <t>ES84180154</t>
  </si>
  <si>
    <t>Mutaciones del Virus de la Hepatitis B asociadas a resistencia al tratamiento con el análogo de nucleósido (Entecavir) en pacientes sin tratamiento previo y pacientes en esquema de tratamiento</t>
  </si>
  <si>
    <t>31-1-947</t>
  </si>
  <si>
    <t>Identificación de potenciales blancos terapéuticos a partir de triterpenos presentes en Eucalyptus tereticornis para el tratamiento de complicaciones asociadas a la obesidad.</t>
  </si>
  <si>
    <t>12-1-731</t>
  </si>
  <si>
    <t>ES84180105</t>
  </si>
  <si>
    <t>ES84190065</t>
  </si>
  <si>
    <t>ES84190106</t>
  </si>
  <si>
    <t>Papel de microRNA, expresados en macrófagos diferenciados con vitamina D, en la modulación de la respuesta inflamatoria inducida por el DENV-2</t>
  </si>
  <si>
    <t>08-1-678</t>
  </si>
  <si>
    <t>ES84180102</t>
  </si>
  <si>
    <t>Programas de expresión génica modulados por la vitamina D en macrófagos en respuesta a la infección por virus dengue</t>
  </si>
  <si>
    <t>ES84200147</t>
  </si>
  <si>
    <t>ES84180131</t>
  </si>
  <si>
    <t>ES84180116</t>
  </si>
  <si>
    <t>ES84180101</t>
  </si>
  <si>
    <t>ES84180141</t>
  </si>
  <si>
    <t>ES84190063</t>
  </si>
  <si>
    <t>Validación In Silico e In vitro del potencial Antiviral de moléculas obtenidas por bioprospección contra proteínas estructurales y no estructurales del Virus Dengue</t>
  </si>
  <si>
    <t>ES84180108</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</si>
  <si>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</si>
  <si>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</si>
  <si>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</si>
  <si>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</si>
  <si>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</si>
  <si>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</si>
  <si>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ES84180117</t>
  </si>
  <si>
    <t>ES84190029</t>
  </si>
  <si>
    <t>Polímeros inhibidores de la formación de biopelículas-Prueba de concepto</t>
  </si>
  <si>
    <t>22-1-889</t>
  </si>
  <si>
    <t>CromaLeish, ungüento para el tratamiento tópico de la leishmaniasis cutánea humana y canina</t>
  </si>
  <si>
    <t>Evaluación de la capacidad antitumoralinvitro e invivo de extractos biológicos obtenidos de las plantas sacha inchi y moringa oreifera en cáncer gástrico. CV84200107</t>
  </si>
  <si>
    <t>FORTALECIMIENTO DE CAPACIDADES DE INVESTIGACIÓN EN LA UNIVERSIDAD DE ANTIOQUIA</t>
  </si>
  <si>
    <t>49-2-946</t>
  </si>
  <si>
    <t>Frecuencia de síntomas de prostatitis en los hombres del Área Metropolitana del Valle de Aburrá - Antioquia y su efecto sobre la fertilidad.</t>
  </si>
  <si>
    <t>Hidrólisis con Alta Carga de Sólidos de Raquis de Palma Pretratado por LHW: Una Alternativa Económica a la Producción de Etanol de Segunda Generación</t>
  </si>
  <si>
    <t>Producción de diésel renovable de aceite de Higuerilla mediante el desarrollo de un proceso continuo sostenible</t>
  </si>
  <si>
    <t>Producción de un material  polimércio tipo-poliuretano sin isocianato, para aplicaciones adhesivos o plastificantes, a partir de aceite de ricino y quitosano</t>
  </si>
  <si>
    <t>Desarrollo de una nueva tecnología a partir de un asfalto natural para su aplicación en infraestructura vial</t>
  </si>
  <si>
    <t>Desarrollo de control positivo para la verificación de la sensibilidad y especificidad del diagnóstico de Covid 19</t>
  </si>
  <si>
    <t>Prevalencia, caracterización genética y distribución geográfica de los virus influenza tipo A en granjas porcinas de Colombia</t>
  </si>
  <si>
    <t>Control de campos ópticos en tiempo real aplicado a la visualización de información</t>
  </si>
  <si>
    <t>Sistemas formadores de vórtices ópticos mediante máscaras de fase discretizada: Análisis de carga topológica, momento angular orbital y aplicaciones metrológicas</t>
  </si>
  <si>
    <t>Estudio del efecto del gen LRRK2 nulo en un modelo neuronal de Parkinson: Estrategia Terapéutica</t>
  </si>
  <si>
    <t>Nanoestructuras de aleaciones magnéticas de FeMB(M=Cu, Ni, Zr): Una contribución al entendimiento del efecto magnetocalórico”</t>
  </si>
  <si>
    <t>Desarrollo de un biosensor óptico para el seguimiento en línea de plaguicidas organofosforados presentes en aguas.</t>
  </si>
  <si>
    <t>Diseño, evaluación y optimización de sistemas biológicos para el tratamiento del agua residual producto de la extracción de almidón de papa.</t>
  </si>
  <si>
    <t>Monitoreo de contaminantes orgánicos persistentes  (COPs) en Colombia</t>
  </si>
  <si>
    <t>Preparación y caracterización de nanopartículas de albúmina funcionalizadas con trastuzumab para transportar paclitaxel con potencial aplicación para tratamiento de cáncer gástrico</t>
  </si>
  <si>
    <t>Fabricación de celdas solares de última generación a partir de dispersiones coloidales estables y compatibles con métodos de fabricación escalables.</t>
  </si>
  <si>
    <t>Desarrollo de las espinelas LixM2-yTiyO4 y NaxLi1-xM2yTiyO4+5 como cátodo en baterías de ion-litio</t>
  </si>
  <si>
    <t>Desarrollo de aleaciones Ti1-x Mgx Y Mg1-x Tix con bajos contenidos de aleante</t>
  </si>
  <si>
    <t>Simultaneous catalytic elimination of nitrogen oxides and organochlorine compunds over Pd/Co catalysts</t>
  </si>
  <si>
    <t xml:space="preserve"> Alistar técnica y operativamente la infraestructura especializada  en propagación in-vitro y ex – vitro y adecuación de nuevas áreas para el establecimiento de nuevos negocios</t>
  </si>
  <si>
    <t>56-1-796</t>
  </si>
  <si>
    <t>Desarrollo e implementación de estrategias biotecnológicas para el mejoramiento de la propagación de Material Élite de cacao en Antioquia.</t>
  </si>
  <si>
    <t>56-1-797</t>
  </si>
  <si>
    <t>Consolidar un equipo humano especializado en la gestión de bionegocios y en la aplicación de la biotecnología</t>
  </si>
  <si>
    <t>56-1-798</t>
  </si>
  <si>
    <t>Implementar un sistema experto de información y comunicación que permita el fortalecimiento de los encadenamientos productivos del sector agropecuario</t>
  </si>
  <si>
    <t>56-1-799</t>
  </si>
  <si>
    <t xml:space="preserve"> Implementar modelo gestión operativa y financiera para el CEDAIT</t>
  </si>
  <si>
    <t>56-1-800</t>
  </si>
  <si>
    <t xml:space="preserve"> Inicio de operaciones de la Biofábrica de semillas </t>
  </si>
  <si>
    <t>56-1-801</t>
  </si>
  <si>
    <t>Diseño de un portafolio de servicios tecnológicos, asesoría, consultoría, asistencia técnica, capacitación y desarrollo in situ de prácticas y modelamiento</t>
  </si>
  <si>
    <t>56-1-802</t>
  </si>
  <si>
    <t xml:space="preserve"> Implementar un modelo de transferencia de tecnología blanda en las Subregiones del Bajo Cauca, Urabá y Suroeste  </t>
  </si>
  <si>
    <t>56-1-803</t>
  </si>
  <si>
    <t>Administración e Interventoría proyecto CEDAIT</t>
  </si>
  <si>
    <t>56-1-804</t>
  </si>
  <si>
    <t>Evaluación de la roca fosfórica y escorias de acería como materias primas para el desarrollo de cementos de fosfato de hierro para aplicaciones en materiales de construcción</t>
  </si>
  <si>
    <t>15-1-770</t>
  </si>
  <si>
    <t>Mixed metal oxides for high voltage Li-ion batteries: a searching by stability and safety</t>
  </si>
  <si>
    <t>15-1-951</t>
  </si>
  <si>
    <t>ES84190066</t>
  </si>
  <si>
    <t>Efecto citotóxico, genotóxico y epigenético de la adición de nanomateriales carbonosos en motores de combustión interna operando en modo dual con gas natural en un modelo celular in-vitro. Elemento PEP CV84200109</t>
  </si>
  <si>
    <t>12-1-949</t>
  </si>
  <si>
    <t>Efecto de ROS sobre la transcripción de genes y vías de señalización asociadas a actividad redox durante la regeneración de cola de Ambystoma</t>
  </si>
  <si>
    <t>Carga de la enfermedad y calidad de vida de pacientes adultos y adolescentes con eccema atópico-Caracterización clínica y sociodemográfica</t>
  </si>
  <si>
    <t>ES84190039</t>
  </si>
  <si>
    <t>Evaluación de las potencialidades de la microscopia sin lentes soportada en técnicas de aprendizaje profundo en el diagnóstico de malaria</t>
  </si>
  <si>
    <t>32-1-950</t>
  </si>
  <si>
    <t>Evaluación del efecto de derivados de la planta Cannabis sativa en un modelo de Parkinson: Uso medicinal de la marihuana en el oriente antioqueño</t>
  </si>
  <si>
    <t>Análisis cinético del proceso de desarrollo de resistencia a antimoniales pentavalentes empleando perfiles transcrioptómicos y metabolómicos, en Leishmania (Viannia) panamensis.</t>
  </si>
  <si>
    <t>Caracterización bioquímica y funcional de una serina/treonina quinasa B-like putativa de Trypanosoma cruzi, y evaluación preliminar in vitro de su potencial como blanco macológico para la enfermedad de Chagas (Programáticas)</t>
  </si>
  <si>
    <t>ES84200146</t>
  </si>
  <si>
    <t>Validación de la sensibilidad, especificidad, estabilidad y calidad, de un buffer de lisis directa empleado en el diagnóstico de COVID19.</t>
  </si>
  <si>
    <t>Búsqueda activa de casos de violencia contra las mujeres en el municipio de Sabaneta durante el confinamiento obligatorio por COVID-19</t>
  </si>
  <si>
    <t>Plataforma para el desarrollo de molusquicidas naturales para control biológico de moluscos hospedadores de helmintos y de importancia agropecuaria</t>
  </si>
  <si>
    <t>Competencia vectorial de poblaciones de Aedes aegypti (Diptera: Culicidae) de Santander, frente a la infección/coinfección por virus Dengue y Chikungunya</t>
  </si>
  <si>
    <t xml:space="preserve">Desarrollo de un respirador mecánico con dispositivo de sanitización de aire hasta escala comercial.  
 </t>
  </si>
  <si>
    <t>Uso de nanomateriales carbonosos como aditivos en diésel para motores de combustión interna operando en modo dual con gas natural y su efecto en el rendimiento, emisiones contaminantes y daño celular (código: 70848). Elemento PEP CV84200109</t>
  </si>
  <si>
    <t>Preparación de nuevos agentes antimaláricos análogos estructurales de 1,1-dioxotiocromen-4-onas como potenciales inhibidores de reductasas de Plasmodium</t>
  </si>
  <si>
    <t>ES84200136</t>
  </si>
  <si>
    <t>ES84190049</t>
  </si>
  <si>
    <t xml:space="preserve">Mecanismos de daño y disfunción endotelial en el síndrome antifosfolípido: ¿hay diferencia de acuerdo a las manifestaciones clínicas del síndrome? 
</t>
  </si>
  <si>
    <t>Sistema Interinstitucional Integrado para la Articulación Científica (SIIAC). Componente de fortalecimiento institucional para la Alianza</t>
  </si>
  <si>
    <t>Juan Camilo Calderón</t>
  </si>
  <si>
    <t>Estudio del efecto de la adición de nanomateriales carbonosos sobre la combustión, 
rendimiento y emisiones de motores de encendido por compresión operando con diésel y en 
modo dual con gas natural. (código: 70447). Elemento PEP CV84200109</t>
  </si>
  <si>
    <t>45-1-958</t>
  </si>
  <si>
    <t xml:space="preserve">MALARIA </t>
  </si>
  <si>
    <t>Desarrollo del aplicativo de diversidad alimentaria</t>
  </si>
  <si>
    <t>46-1-953</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</si>
  <si>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</si>
  <si>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</si>
  <si>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</si>
  <si>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</si>
  <si>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Aplicación de la nanotecnología al desarrollo de materiales basa-dos en magnesio para almacenamiento de hidrógeno, con el fin de contribuir a viabilizar su uso como combustible limpio en sistemas de transporte, código: 69950</t>
  </si>
  <si>
    <t>15-1-961</t>
  </si>
  <si>
    <t>Generación de hidrógeno de bajo impacto ambiental mediante el aprovechamiento de energías renovables, para su posterior uso como combustible limpio en sistemas de transporte, código: 69960</t>
  </si>
  <si>
    <t>15-1-962</t>
  </si>
  <si>
    <t>Desarrollo de un prototipo de ge-neración eléctrica de 1 kw basado en celdas de combustible poliméricas aniónicas, AEMFC, con hidró-geno como combustible, código: 70743</t>
  </si>
  <si>
    <t>15-1-963</t>
  </si>
  <si>
    <t xml:space="preserve"> Análisis de la percentilización de las
características físicas y motrices de los niños y niñas en edad escolar.  en la investigación: “Escolar Antioqueño”</t>
  </si>
  <si>
    <t>55-1-936</t>
  </si>
  <si>
    <t>ES84160101</t>
  </si>
  <si>
    <t>Mantenimiento correctivo del sistema de medidas de propiedades físicas – PPMS</t>
  </si>
  <si>
    <t>24-1-928</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</si>
  <si>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</si>
  <si>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</si>
  <si>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</si>
  <si>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</si>
  <si>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</si>
  <si>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08-1-955</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</si>
  <si>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</si>
  <si>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</si>
  <si>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</si>
  <si>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</si>
  <si>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</si>
  <si>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</si>
  <si>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</si>
  <si>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</si>
  <si>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Valorización del gas proveniente de la torrefacción de
biomasa, mediante captura de CO2 y combustión en un quemador de lecho poroso</t>
  </si>
  <si>
    <t>17-1-907</t>
  </si>
  <si>
    <t xml:space="preserve">Uso de oxido grafeno y nanotubos de carbono como aditivos a mezclas diésel-biodiésel y su efecto en la eficiencia térmica y las emisiones contaminantes de un motor de encendido por compresión estacionario </t>
  </si>
  <si>
    <t>17-1-905</t>
  </si>
  <si>
    <t>Análisis de medicamento como fuente de resistencia microbiana en las bacterias patogénicas Escherichia coli, Staphylococcus aureus y Pseudomonas aeruginosa vía Quorum Sensing (Programática)</t>
  </si>
  <si>
    <t>ES84200127</t>
  </si>
  <si>
    <t>Cuantificación de Compuestos Farmacéuticamente Activos (CFAc) y Bacterias patógenas en aguas residuales y de riego, suelo y alimentos mediante técnicas de nueva generación: Planteamiento de alternativas para su eliminación, código 69598</t>
  </si>
  <si>
    <t>65-1-964</t>
  </si>
  <si>
    <t>Prototipo para la generación de especies radicales oxidantes para el tratamiento de aguas residuales – GEROs, código 70183</t>
  </si>
  <si>
    <t>65-1-965</t>
  </si>
  <si>
    <t>Aplicación de Procesos Avanzados de Oxidación para la Remoción de CEC, código 70216</t>
  </si>
  <si>
    <t>65-1-966</t>
  </si>
  <si>
    <t>Remediación_Ambiental_y_Biocatálisis</t>
  </si>
  <si>
    <t>Estrategia para la Sostenibilidad 2018-2019 Biotecnología</t>
  </si>
  <si>
    <t>Estrategia de Sostenibilidad 2020-2021 Biotecnología</t>
  </si>
  <si>
    <t>Estrategia para la sostenibilidad 2018-2019 Catálisis Ambiental</t>
  </si>
  <si>
    <t>Estrategia de Sostenibilidad 2020-2021 Catálisis Ambiental</t>
  </si>
  <si>
    <t>Estrategia para la sostenibilidad 2018-2019 CIDEMAT</t>
  </si>
  <si>
    <t>Estrategia para la sostenibilidad 2020-2021 CIDEMAT</t>
  </si>
  <si>
    <t>Estrategia para la sostenibilidad 2018-2019 Ciencia de los Materiales</t>
  </si>
  <si>
    <t>Estrategia de Sostenibilidad 2020-2021 Ciencia de los Materiales</t>
  </si>
  <si>
    <t>Estrategia de Sostenibilidad 2018-2019 GDCON</t>
  </si>
  <si>
    <t>Estrategia de Sostenibilidad 2020-2021 GDCON</t>
  </si>
  <si>
    <t>Estrategia de Sostenibilidad 2018-2019 Didácticas</t>
  </si>
  <si>
    <t>Estrategia para la Sostenibilidad 2018-2019 Estado Sólido</t>
  </si>
  <si>
    <t>Estrategia para la sostenibilidad 2018-2019 Física Atómica</t>
  </si>
  <si>
    <t>Estrategia para la sostenibilidad 2018-2019 GIMEL</t>
  </si>
  <si>
    <t>Estrategia de Sostenibilidad 2020-2021  GIMEL</t>
  </si>
  <si>
    <t>Estrategia para la sostenibilidad 2018-2020 GMMT</t>
  </si>
  <si>
    <t>Estrategia de Sostenibilidad 2020-2021 Inmunovirología</t>
  </si>
  <si>
    <t>Estrategia para la sostenibilidad 2018-2019 MASO</t>
  </si>
  <si>
    <t>Estrategia para la sostenibilidad 2018-2019 Óptica</t>
  </si>
  <si>
    <t>Estrategia de Sostenibilidad 2020-2021  Óptica</t>
  </si>
  <si>
    <t>Estrategia para la sostenibilidad 2018-2019 PECET</t>
  </si>
  <si>
    <t>Estrategia de Sostenibilidad 2020-2021 Reproducción</t>
  </si>
  <si>
    <t>Estrategia de Sostenibilidad 2020-2021 Rehabilitación en Salud</t>
  </si>
  <si>
    <t>Estrategia para la Sostenibilidad 2016-2017 Estado Sólido</t>
  </si>
  <si>
    <t>Estrategia para la sostenibilidad 2020-2021 Estado Sólido</t>
  </si>
  <si>
    <t>Estrategia de Sostenibilidad 2018-2019 Inmunovirología</t>
  </si>
  <si>
    <t>Estrategia para la sostenibilidad 2016-2017 Malaria</t>
  </si>
  <si>
    <t>Estrategia para la sostenibilidad 2018-2020 Óptica</t>
  </si>
  <si>
    <t>Estrategia para la sostenibilidad 2018-2019 Quirema</t>
  </si>
  <si>
    <t>Estrategia de Sostenibilidad 2020-2021 QOPN</t>
  </si>
  <si>
    <t>Evaluación del papel de la vitamina D en la expresión de receptores tipo Toll, citoquinas y microRNA en respuesta a la infección por los virus Chikungunya y Zika - Andrés Castillo</t>
  </si>
  <si>
    <t>08-1-697</t>
  </si>
  <si>
    <t>CIENCIA DE LOS MATERIALES</t>
  </si>
  <si>
    <t>Ganancia de peso gestacional de adolescentes latinoamericanas y su asociación con el peso al nacer del neonato</t>
  </si>
  <si>
    <t>46-1-969</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</si>
  <si>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</si>
  <si>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</si>
  <si>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</si>
  <si>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</si>
  <si>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</si>
  <si>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</si>
  <si>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</si>
  <si>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</si>
  <si>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</si>
  <si>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Estrategia de sostenibilidad 2020-2021 grupo quirema</t>
  </si>
  <si>
    <t>ES84190055</t>
  </si>
  <si>
    <t>One Health Surveillance in the Colombian Pacific Coast- CV84200111</t>
  </si>
  <si>
    <t>32-1-985</t>
  </si>
  <si>
    <t>Prueba de Prueba de Concepto para “Hidrogel cicatrizante</t>
  </si>
  <si>
    <t>Toxinología_Alternativas_Terapéuticas_y_Alimentarias</t>
  </si>
  <si>
    <t>64-1-971</t>
  </si>
  <si>
    <t>Evaluación de formulaciones nanoestructuradas de extractos de Cannabis encapsulados en micelas poliméricas para el tratamiento del dolor crónico</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</si>
  <si>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</si>
  <si>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</si>
  <si>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</si>
  <si>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</si>
  <si>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</si>
  <si>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</si>
  <si>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Estado nutricional materno, ingesta dietética y microbiota de la leche materna</t>
  </si>
  <si>
    <t>46-1-970</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</si>
  <si>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</si>
  <si>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</si>
  <si>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</si>
  <si>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</si>
  <si>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</si>
  <si>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</si>
  <si>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</si>
  <si>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</si>
  <si>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</si>
  <si>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</si>
  <si>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Microevolución del sars-cov-2 en medellín durante la pandemia de covid-19 de 2020-2021 (08-1-955)</t>
  </si>
  <si>
    <t>Microevolución del sars-cov-2 en medellín durante la pandemia de covid-19 de 2020-2021 (08-1-973)</t>
  </si>
  <si>
    <t>32-1-1010</t>
  </si>
  <si>
    <t>CYP2D6 polymorphism and the risk of Plasmodium vivax recurrences following chloroquine-primaquine treatment in Brazil and Colombia</t>
  </si>
  <si>
    <t>Estrategia de Sostenibilidad 2020-2021 Grupo MASO</t>
  </si>
  <si>
    <t>ES84190021</t>
  </si>
  <si>
    <t>Método alternativo basado en la terapia fototermal plasmónica para el tratamiento de adenocarcinoma gástrico a partir de un modelo in vitro e in silico</t>
  </si>
  <si>
    <t>EVALUACIÓN DE SISTEMAS DE CAPTURA DE CO2 GENERADO EN PROCESOS INDUSTRIALES PARA LA OBTENCIÓN DE BIOMASA MICROALGAL, código 86016 Elemento PEP: CV84210102 Convocatoria 903-2021. Ejecutor Cementos Argos</t>
  </si>
  <si>
    <t>50-1-1004</t>
  </si>
  <si>
    <t>50-1-1005</t>
  </si>
  <si>
    <t>50-1-1006</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</si>
  <si>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</si>
  <si>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</si>
  <si>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Filtros catalíticos para el control de compuestos orgánicos volátiles (COV): Integración de las etapas tecnológicas y productivas hacia la creación de una línea de negocio</t>
  </si>
  <si>
    <t>17-1-1008</t>
  </si>
  <si>
    <t>Validación de la eficacia y seguridad cosmética del efecto proyector del extracto P2Et sobre la piel sometida a radioterapia mediante métodos biológicos o biotecnológicos</t>
  </si>
  <si>
    <t>34-1-986</t>
  </si>
  <si>
    <t>05-1-978</t>
  </si>
  <si>
    <t>05-1-1001</t>
  </si>
  <si>
    <t>05-1-937</t>
  </si>
  <si>
    <t>05-1-924</t>
  </si>
  <si>
    <t>05-1-989</t>
  </si>
  <si>
    <t>05-1-917</t>
  </si>
  <si>
    <t>05-1-918</t>
  </si>
  <si>
    <t>05-1-897</t>
  </si>
  <si>
    <t>05-1-914</t>
  </si>
  <si>
    <t>05-1-913</t>
  </si>
  <si>
    <t>05-1-902</t>
  </si>
  <si>
    <t>05-1-890</t>
  </si>
  <si>
    <t>05-1-870</t>
  </si>
  <si>
    <t>05-1-867</t>
  </si>
  <si>
    <t>05-1-856</t>
  </si>
  <si>
    <t>05-1-786</t>
  </si>
  <si>
    <t>05-1-859</t>
  </si>
  <si>
    <t>05-1-756</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</si>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</sst>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5">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0" borderId="0" xfId="0" applyFont="1" applyFill="1" applyAlignment="1" applyProtection="1">
      <alignment vertical="center"/>
    </xf>
    <xf numFmtId="0" fontId="14" fillId="0" borderId="0" xfId="0" applyFont="1" applyFill="1" applyAlignment="1" applyProtection="1">
      <alignment horizontal="justify" vertical="center" wrapText="1"/>
    </xf>
    <xf numFmtId="0" fontId="14" fillId="0" borderId="0" xfId="0" applyFont="1" applyFill="1" applyAlignment="1" applyProtection="1">
      <alignment horizontal="center" vertical="center"/>
    </xf>
    <xf numFmtId="2" fontId="14" fillId="0" borderId="0" xfId="0" applyNumberFormat="1" applyFont="1" applyAlignment="1" applyProtection="1">
      <alignment horizontal="center" vertical="center"/>
    </xf>
    <xf numFmtId="2" fontId="14" fillId="0" borderId="0" xfId="0" applyNumberFormat="1" applyFont="1" applyAlignment="1" applyProtection="1">
      <alignment horizontal="center" vertical="center" wrapText="1"/>
    </xf>
    <xf numFmtId="2" fontId="14" fillId="0" borderId="0" xfId="0" applyNumberFormat="1" applyFont="1" applyFill="1" applyAlignment="1" applyProtection="1">
      <alignment horizontal="center" vertical="center" wrapText="1"/>
    </xf>
    <xf numFmtId="2" fontId="14" fillId="0" borderId="0" xfId="0" applyNumberFormat="1" applyFont="1" applyAlignment="1">
      <alignment horizontal="center" vertical="center"/>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0"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4EE203E0-5A65-4B2B-BFC5-37761F2696AC}"/>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Q16" sqref="Q16"/>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82"/>
      <c r="D1" s="82"/>
      <c r="E1" s="82"/>
      <c r="F1" s="82"/>
      <c r="G1" s="82"/>
      <c r="H1" s="82"/>
      <c r="I1" s="82"/>
      <c r="J1" s="82"/>
      <c r="K1" s="82"/>
      <c r="L1" s="82"/>
    </row>
    <row r="2" spans="1:16" ht="15" customHeight="1" x14ac:dyDescent="0.25">
      <c r="C2" s="71"/>
      <c r="D2" s="83"/>
      <c r="E2" s="83"/>
      <c r="F2" s="83"/>
      <c r="G2" s="83"/>
      <c r="H2" s="83"/>
      <c r="I2" s="83"/>
      <c r="J2" s="83"/>
      <c r="K2" s="83"/>
      <c r="L2" s="83"/>
    </row>
    <row r="3" spans="1:16" ht="18" customHeight="1" x14ac:dyDescent="0.25">
      <c r="A3" s="63"/>
      <c r="B3" s="63"/>
      <c r="C3" s="63"/>
      <c r="D3" s="84" t="s">
        <v>560</v>
      </c>
      <c r="E3" s="85"/>
      <c r="F3" s="85"/>
      <c r="G3" s="85"/>
      <c r="H3" s="85"/>
      <c r="I3" s="85"/>
      <c r="J3" s="85"/>
      <c r="K3" s="85"/>
      <c r="L3" s="86"/>
      <c r="O3" s="82"/>
      <c r="P3" s="82"/>
    </row>
    <row r="4" spans="1:16" ht="18" customHeight="1" x14ac:dyDescent="0.25">
      <c r="A4" s="63"/>
      <c r="B4" s="63"/>
      <c r="C4" s="63"/>
      <c r="D4" s="87" t="s">
        <v>0</v>
      </c>
      <c r="E4" s="88"/>
      <c r="F4" s="88"/>
      <c r="G4" s="88"/>
      <c r="H4" s="88"/>
      <c r="I4" s="88"/>
      <c r="J4" s="88"/>
      <c r="K4" s="88"/>
      <c r="L4" s="89"/>
      <c r="O4" s="82"/>
      <c r="P4" s="82"/>
    </row>
    <row r="5" spans="1:16" ht="18" customHeight="1" x14ac:dyDescent="0.25">
      <c r="A5" s="63"/>
      <c r="B5" s="63"/>
      <c r="C5" s="63"/>
      <c r="D5" s="87" t="s">
        <v>1</v>
      </c>
      <c r="E5" s="88"/>
      <c r="F5" s="88"/>
      <c r="G5" s="88"/>
      <c r="H5" s="88"/>
      <c r="I5" s="88"/>
      <c r="J5" s="88"/>
      <c r="K5" s="88"/>
      <c r="L5" s="89"/>
    </row>
    <row r="6" spans="1:16" ht="18" customHeight="1" x14ac:dyDescent="0.25">
      <c r="A6" s="63"/>
      <c r="B6" s="63"/>
      <c r="C6" s="63"/>
      <c r="D6" s="93" t="s">
        <v>2</v>
      </c>
      <c r="E6" s="94"/>
      <c r="F6" s="94"/>
      <c r="G6" s="94"/>
      <c r="H6" s="94"/>
      <c r="I6" s="94"/>
      <c r="J6" s="94"/>
      <c r="K6" s="94"/>
      <c r="L6" s="95"/>
    </row>
    <row r="7" spans="1:16" ht="20.100000000000001" customHeight="1" x14ac:dyDescent="0.25">
      <c r="C7" s="82"/>
      <c r="D7" s="82"/>
      <c r="E7" s="82"/>
      <c r="F7" s="82"/>
      <c r="G7" s="82"/>
      <c r="H7" s="82"/>
      <c r="I7" s="82"/>
      <c r="J7" s="82"/>
      <c r="K7" s="82"/>
      <c r="L7" s="82"/>
    </row>
    <row r="8" spans="1:16" s="2" customFormat="1" ht="30" customHeight="1" x14ac:dyDescent="0.25">
      <c r="A8" s="62" t="s">
        <v>90</v>
      </c>
      <c r="B8" s="62"/>
      <c r="C8" s="62" t="s">
        <v>3</v>
      </c>
      <c r="D8" s="62"/>
      <c r="E8" s="62" t="s">
        <v>4</v>
      </c>
      <c r="F8" s="62"/>
      <c r="G8" s="62" t="s">
        <v>5</v>
      </c>
      <c r="H8" s="62"/>
      <c r="I8" s="62" t="s">
        <v>72</v>
      </c>
      <c r="J8" s="62"/>
      <c r="K8" s="62" t="s">
        <v>73</v>
      </c>
      <c r="L8" s="62"/>
    </row>
    <row r="9" spans="1:16" ht="30" customHeight="1" x14ac:dyDescent="0.25">
      <c r="A9" s="54"/>
      <c r="B9" s="54"/>
      <c r="C9" s="54"/>
      <c r="D9" s="54"/>
      <c r="E9" s="54"/>
      <c r="F9" s="54"/>
      <c r="G9" s="74" t="str">
        <f>IF(E9="","",IFERROR(VLOOKUP(E9,Parámetros_Investigadores!A2:B220,2,FALSE),"No se encontró"))</f>
        <v/>
      </c>
      <c r="H9" s="74"/>
      <c r="I9" s="54"/>
      <c r="J9" s="54"/>
      <c r="K9" s="75"/>
      <c r="L9" s="75"/>
    </row>
    <row r="10" spans="1:16" ht="30" customHeight="1" x14ac:dyDescent="0.25">
      <c r="A10" s="54"/>
      <c r="B10" s="54"/>
      <c r="C10" s="54"/>
      <c r="D10" s="54"/>
      <c r="E10" s="54"/>
      <c r="F10" s="54"/>
      <c r="G10" s="74"/>
      <c r="H10" s="74"/>
      <c r="I10" s="54"/>
      <c r="J10" s="54"/>
      <c r="K10" s="75"/>
      <c r="L10" s="75"/>
    </row>
    <row r="11" spans="1:16" ht="30" customHeight="1" x14ac:dyDescent="0.25">
      <c r="A11" s="98" t="s">
        <v>74</v>
      </c>
      <c r="B11" s="98"/>
      <c r="C11" s="98"/>
      <c r="D11" s="98"/>
      <c r="E11" s="98"/>
      <c r="F11" s="98"/>
      <c r="G11" s="98"/>
      <c r="H11" s="98"/>
      <c r="I11" s="98"/>
      <c r="J11" s="98"/>
      <c r="K11" s="98"/>
      <c r="L11" s="98"/>
    </row>
    <row r="12" spans="1:16" ht="34.5" customHeight="1" x14ac:dyDescent="0.25">
      <c r="A12" s="78" t="s">
        <v>821</v>
      </c>
      <c r="B12" s="78"/>
      <c r="C12" s="78"/>
      <c r="D12" s="78"/>
      <c r="E12" s="78"/>
      <c r="F12" s="78"/>
      <c r="G12" s="78"/>
      <c r="H12" s="78"/>
      <c r="I12" s="78"/>
      <c r="J12" s="78"/>
      <c r="K12" s="78"/>
      <c r="L12" s="78"/>
    </row>
    <row r="13" spans="1:16" ht="40.5" customHeight="1" x14ac:dyDescent="0.25">
      <c r="A13" s="59" t="s">
        <v>15</v>
      </c>
      <c r="B13" s="61"/>
      <c r="C13" s="79"/>
      <c r="D13" s="80"/>
      <c r="E13" s="80"/>
      <c r="F13" s="80"/>
      <c r="G13" s="80"/>
      <c r="H13" s="80"/>
      <c r="I13" s="73" t="s">
        <v>807</v>
      </c>
      <c r="J13" s="73"/>
      <c r="K13" s="79"/>
      <c r="L13" s="81"/>
    </row>
    <row r="14" spans="1:16" ht="30" customHeight="1" x14ac:dyDescent="0.25">
      <c r="A14" s="73" t="s">
        <v>75</v>
      </c>
      <c r="B14" s="73"/>
      <c r="C14" s="96" t="str">
        <f>IF(C13="","",VLOOKUP(C13,Parámetros_Proyectos!B2:D265,2,FALSE))</f>
        <v/>
      </c>
      <c r="D14" s="96"/>
      <c r="E14" s="73" t="s">
        <v>16</v>
      </c>
      <c r="F14" s="73"/>
      <c r="G14" s="96" t="str">
        <f>IF(C13="","",VLOOKUP(C13,Parámetros_Proyectos!B2:D265,3,FALSE))</f>
        <v/>
      </c>
      <c r="H14" s="96"/>
      <c r="I14" s="73" t="s">
        <v>31</v>
      </c>
      <c r="J14" s="73"/>
      <c r="K14" s="76"/>
      <c r="L14" s="77"/>
    </row>
    <row r="15" spans="1:16" s="2" customFormat="1" ht="30" customHeight="1" x14ac:dyDescent="0.25">
      <c r="A15" s="55" t="s">
        <v>76</v>
      </c>
      <c r="B15" s="55"/>
      <c r="C15" s="55"/>
      <c r="D15" s="55"/>
      <c r="E15" s="55"/>
      <c r="F15" s="55"/>
      <c r="G15" s="55"/>
      <c r="H15" s="55"/>
      <c r="I15" s="55"/>
      <c r="J15" s="55"/>
      <c r="K15" s="55"/>
      <c r="L15" s="55"/>
    </row>
    <row r="16" spans="1:16" ht="30" customHeight="1" x14ac:dyDescent="0.25">
      <c r="A16" s="97" t="s">
        <v>294</v>
      </c>
      <c r="B16" s="97"/>
      <c r="C16" s="97"/>
      <c r="D16" s="97" t="s">
        <v>77</v>
      </c>
      <c r="E16" s="97"/>
      <c r="F16" s="97"/>
      <c r="G16" s="97"/>
      <c r="H16" s="97"/>
      <c r="I16" s="97"/>
      <c r="J16" s="97"/>
      <c r="K16" s="97" t="s">
        <v>78</v>
      </c>
      <c r="L16" s="97"/>
    </row>
    <row r="17" spans="1:12" ht="30" customHeight="1" x14ac:dyDescent="0.25">
      <c r="A17" s="53"/>
      <c r="B17" s="53"/>
      <c r="C17" s="53"/>
      <c r="D17" s="53"/>
      <c r="E17" s="53"/>
      <c r="F17" s="53"/>
      <c r="G17" s="53"/>
      <c r="H17" s="53"/>
      <c r="I17" s="53"/>
      <c r="J17" s="53"/>
      <c r="K17" s="54"/>
      <c r="L17" s="54"/>
    </row>
    <row r="18" spans="1:12" ht="30" customHeight="1" x14ac:dyDescent="0.25">
      <c r="A18" s="53"/>
      <c r="B18" s="53"/>
      <c r="C18" s="53"/>
      <c r="D18" s="53"/>
      <c r="E18" s="53"/>
      <c r="F18" s="53"/>
      <c r="G18" s="53"/>
      <c r="H18" s="53"/>
      <c r="I18" s="53"/>
      <c r="J18" s="53"/>
      <c r="K18" s="54"/>
      <c r="L18" s="54"/>
    </row>
    <row r="19" spans="1:12" ht="30" customHeight="1" x14ac:dyDescent="0.25">
      <c r="A19" s="53"/>
      <c r="B19" s="53"/>
      <c r="C19" s="53"/>
      <c r="D19" s="53"/>
      <c r="E19" s="53"/>
      <c r="F19" s="53"/>
      <c r="G19" s="53"/>
      <c r="H19" s="53"/>
      <c r="I19" s="53"/>
      <c r="J19" s="53"/>
      <c r="K19" s="54"/>
      <c r="L19" s="54"/>
    </row>
    <row r="20" spans="1:12" ht="30" customHeight="1" x14ac:dyDescent="0.25">
      <c r="A20" s="53"/>
      <c r="B20" s="53"/>
      <c r="C20" s="53"/>
      <c r="D20" s="53"/>
      <c r="E20" s="53"/>
      <c r="F20" s="53"/>
      <c r="G20" s="53"/>
      <c r="H20" s="53"/>
      <c r="I20" s="53"/>
      <c r="J20" s="53"/>
      <c r="K20" s="54"/>
      <c r="L20" s="54"/>
    </row>
    <row r="21" spans="1:12" ht="30" customHeight="1" x14ac:dyDescent="0.25">
      <c r="A21" s="53"/>
      <c r="B21" s="53"/>
      <c r="C21" s="53"/>
      <c r="D21" s="53"/>
      <c r="E21" s="53"/>
      <c r="F21" s="53"/>
      <c r="G21" s="53"/>
      <c r="H21" s="53"/>
      <c r="I21" s="53"/>
      <c r="J21" s="53"/>
      <c r="K21" s="54"/>
      <c r="L21" s="54"/>
    </row>
    <row r="22" spans="1:12" ht="30" customHeight="1" x14ac:dyDescent="0.25">
      <c r="A22" s="53"/>
      <c r="B22" s="53"/>
      <c r="C22" s="53"/>
      <c r="D22" s="53"/>
      <c r="E22" s="53"/>
      <c r="F22" s="53"/>
      <c r="G22" s="53"/>
      <c r="H22" s="53"/>
      <c r="I22" s="53"/>
      <c r="J22" s="53"/>
      <c r="K22" s="54"/>
      <c r="L22" s="54"/>
    </row>
    <row r="23" spans="1:12" ht="30" customHeight="1" x14ac:dyDescent="0.25">
      <c r="A23" s="53"/>
      <c r="B23" s="53"/>
      <c r="C23" s="53"/>
      <c r="D23" s="53"/>
      <c r="E23" s="53"/>
      <c r="F23" s="53"/>
      <c r="G23" s="53"/>
      <c r="H23" s="53"/>
      <c r="I23" s="53"/>
      <c r="J23" s="53"/>
      <c r="K23" s="54"/>
      <c r="L23" s="54"/>
    </row>
    <row r="24" spans="1:12" ht="30" customHeight="1" x14ac:dyDescent="0.25">
      <c r="A24" s="53"/>
      <c r="B24" s="53"/>
      <c r="C24" s="53"/>
      <c r="D24" s="53"/>
      <c r="E24" s="53"/>
      <c r="F24" s="53"/>
      <c r="G24" s="53"/>
      <c r="H24" s="53"/>
      <c r="I24" s="53"/>
      <c r="J24" s="53"/>
      <c r="K24" s="54"/>
      <c r="L24" s="54"/>
    </row>
    <row r="25" spans="1:12" ht="30" customHeight="1" x14ac:dyDescent="0.25">
      <c r="A25" s="53"/>
      <c r="B25" s="53"/>
      <c r="C25" s="53"/>
      <c r="D25" s="53"/>
      <c r="E25" s="53"/>
      <c r="F25" s="53"/>
      <c r="G25" s="53"/>
      <c r="H25" s="53"/>
      <c r="I25" s="53"/>
      <c r="J25" s="53"/>
      <c r="K25" s="54"/>
      <c r="L25" s="54"/>
    </row>
    <row r="26" spans="1:12" ht="30" customHeight="1" x14ac:dyDescent="0.25">
      <c r="A26" s="53"/>
      <c r="B26" s="53"/>
      <c r="C26" s="53"/>
      <c r="D26" s="53"/>
      <c r="E26" s="53"/>
      <c r="F26" s="53"/>
      <c r="G26" s="53"/>
      <c r="H26" s="53"/>
      <c r="I26" s="53"/>
      <c r="J26" s="53"/>
      <c r="K26" s="54"/>
      <c r="L26" s="54"/>
    </row>
    <row r="27" spans="1:12" ht="30" customHeight="1" x14ac:dyDescent="0.25">
      <c r="A27" s="53"/>
      <c r="B27" s="53"/>
      <c r="C27" s="53"/>
      <c r="D27" s="53"/>
      <c r="E27" s="53"/>
      <c r="F27" s="53"/>
      <c r="G27" s="53"/>
      <c r="H27" s="53"/>
      <c r="I27" s="53"/>
      <c r="J27" s="53"/>
      <c r="K27" s="54"/>
      <c r="L27" s="54"/>
    </row>
    <row r="28" spans="1:12" s="2" customFormat="1" ht="30" customHeight="1" x14ac:dyDescent="0.25">
      <c r="A28" s="55" t="s">
        <v>88</v>
      </c>
      <c r="B28" s="55"/>
      <c r="C28" s="55"/>
      <c r="D28" s="55"/>
      <c r="E28" s="55"/>
      <c r="F28" s="55"/>
      <c r="G28" s="55"/>
      <c r="H28" s="55"/>
      <c r="I28" s="55"/>
      <c r="J28" s="55"/>
      <c r="K28" s="55"/>
      <c r="L28" s="55"/>
    </row>
    <row r="29" spans="1:12" ht="30" customHeight="1" x14ac:dyDescent="0.25">
      <c r="A29" s="56"/>
      <c r="B29" s="56"/>
      <c r="C29" s="56"/>
      <c r="D29" s="56"/>
      <c r="E29" s="56"/>
      <c r="F29" s="56"/>
      <c r="G29" s="56"/>
      <c r="H29" s="56"/>
      <c r="I29" s="56"/>
      <c r="J29" s="56"/>
      <c r="K29" s="56"/>
      <c r="L29" s="56"/>
    </row>
    <row r="30" spans="1:12" ht="30" customHeight="1" x14ac:dyDescent="0.25">
      <c r="A30" s="55" t="s">
        <v>20</v>
      </c>
      <c r="B30" s="55"/>
      <c r="C30" s="55"/>
      <c r="D30" s="55"/>
      <c r="E30" s="55"/>
      <c r="F30" s="55"/>
      <c r="G30" s="55"/>
      <c r="H30" s="55"/>
      <c r="I30" s="55"/>
      <c r="J30" s="55"/>
      <c r="K30" s="55"/>
      <c r="L30" s="55"/>
    </row>
    <row r="31" spans="1:12" ht="30" customHeight="1" x14ac:dyDescent="0.25">
      <c r="A31" s="26" t="s">
        <v>18</v>
      </c>
      <c r="B31" s="25"/>
      <c r="C31" s="26" t="s">
        <v>19</v>
      </c>
      <c r="D31" s="25"/>
      <c r="E31" s="59"/>
      <c r="F31" s="60"/>
      <c r="G31" s="60"/>
      <c r="H31" s="60"/>
      <c r="I31" s="60"/>
      <c r="J31" s="60"/>
      <c r="K31" s="60"/>
      <c r="L31" s="61"/>
    </row>
    <row r="32" spans="1:12" ht="24" customHeight="1" x14ac:dyDescent="0.25">
      <c r="A32" s="63"/>
      <c r="B32" s="63"/>
      <c r="C32" s="63"/>
      <c r="D32" s="63"/>
      <c r="E32" s="63"/>
      <c r="F32" s="63"/>
      <c r="G32" s="63"/>
      <c r="H32" s="63"/>
      <c r="I32" s="63"/>
      <c r="J32" s="63"/>
      <c r="K32" s="63"/>
      <c r="L32" s="63"/>
    </row>
    <row r="33" spans="1:12" ht="30" customHeight="1" x14ac:dyDescent="0.25">
      <c r="A33" s="55" t="s">
        <v>24</v>
      </c>
      <c r="B33" s="55"/>
      <c r="C33" s="55"/>
      <c r="D33" s="55"/>
      <c r="E33" s="55"/>
      <c r="F33" s="55"/>
      <c r="G33" s="55"/>
      <c r="H33" s="55"/>
      <c r="I33" s="55"/>
      <c r="J33" s="55"/>
      <c r="K33" s="55"/>
      <c r="L33" s="55"/>
    </row>
    <row r="34" spans="1:12" ht="30" customHeight="1" x14ac:dyDescent="0.25">
      <c r="A34" s="26" t="s">
        <v>23</v>
      </c>
      <c r="B34" s="62" t="s">
        <v>21</v>
      </c>
      <c r="C34" s="62"/>
      <c r="D34" s="62" t="s">
        <v>22</v>
      </c>
      <c r="E34" s="62"/>
      <c r="F34" s="27" t="s">
        <v>6</v>
      </c>
      <c r="G34" s="62" t="s">
        <v>86</v>
      </c>
      <c r="H34" s="62"/>
      <c r="I34" s="62" t="s">
        <v>91</v>
      </c>
      <c r="J34" s="62"/>
      <c r="K34" s="62" t="s">
        <v>92</v>
      </c>
      <c r="L34" s="62"/>
    </row>
    <row r="35" spans="1:12" ht="30" customHeight="1" x14ac:dyDescent="0.25">
      <c r="A35" s="24">
        <v>1</v>
      </c>
      <c r="B35" s="36"/>
      <c r="C35" s="35"/>
      <c r="D35" s="75"/>
      <c r="E35" s="75"/>
      <c r="F35" s="30"/>
      <c r="G35" s="75"/>
      <c r="H35" s="75"/>
      <c r="I35" s="72"/>
      <c r="J35" s="72"/>
      <c r="K35" s="72"/>
      <c r="L35" s="72"/>
    </row>
    <row r="36" spans="1:12" ht="30" customHeight="1" x14ac:dyDescent="0.25">
      <c r="A36" s="24">
        <v>2</v>
      </c>
      <c r="B36" s="36"/>
      <c r="C36" s="35"/>
      <c r="D36" s="75"/>
      <c r="E36" s="75"/>
      <c r="F36" s="30"/>
      <c r="G36" s="75"/>
      <c r="H36" s="75"/>
      <c r="I36" s="72"/>
      <c r="J36" s="72"/>
      <c r="K36" s="72"/>
      <c r="L36" s="72"/>
    </row>
    <row r="37" spans="1:12" ht="30" customHeight="1" x14ac:dyDescent="0.25">
      <c r="A37" s="24">
        <v>3</v>
      </c>
      <c r="B37" s="36"/>
      <c r="C37" s="35"/>
      <c r="D37" s="75"/>
      <c r="E37" s="75"/>
      <c r="F37" s="30"/>
      <c r="G37" s="75"/>
      <c r="H37" s="75"/>
      <c r="I37" s="72"/>
      <c r="J37" s="72"/>
      <c r="K37" s="72"/>
      <c r="L37" s="72"/>
    </row>
    <row r="38" spans="1:12" ht="30" customHeight="1" x14ac:dyDescent="0.25">
      <c r="A38" s="24">
        <v>4</v>
      </c>
      <c r="B38" s="36"/>
      <c r="C38" s="35"/>
      <c r="D38" s="75"/>
      <c r="E38" s="75"/>
      <c r="F38" s="30"/>
      <c r="G38" s="75"/>
      <c r="H38" s="75"/>
      <c r="I38" s="72"/>
      <c r="J38" s="72"/>
      <c r="K38" s="72"/>
      <c r="L38" s="72"/>
    </row>
    <row r="39" spans="1:12" ht="22.5" customHeight="1" x14ac:dyDescent="0.25">
      <c r="A39" s="58" t="s">
        <v>87</v>
      </c>
      <c r="B39" s="58"/>
      <c r="C39" s="58"/>
      <c r="D39" s="58"/>
      <c r="E39" s="58"/>
      <c r="F39" s="58"/>
      <c r="G39" s="58"/>
      <c r="H39" s="58"/>
      <c r="I39" s="58"/>
      <c r="J39" s="58"/>
      <c r="K39" s="58"/>
      <c r="L39" s="58"/>
    </row>
    <row r="40" spans="1:12" ht="19.5" customHeight="1" x14ac:dyDescent="0.25">
      <c r="A40" s="58"/>
      <c r="B40" s="58"/>
      <c r="C40" s="58"/>
      <c r="D40" s="58"/>
      <c r="E40" s="58"/>
      <c r="F40" s="58"/>
      <c r="G40" s="58"/>
      <c r="H40" s="58"/>
      <c r="I40" s="58"/>
      <c r="J40" s="58"/>
      <c r="K40" s="58"/>
      <c r="L40" s="58"/>
    </row>
    <row r="41" spans="1:12" ht="30" customHeight="1" x14ac:dyDescent="0.25">
      <c r="A41" s="64" t="s">
        <v>56</v>
      </c>
      <c r="B41" s="64"/>
      <c r="C41" s="64"/>
      <c r="D41" s="64"/>
      <c r="E41" s="65"/>
      <c r="F41" s="66"/>
      <c r="G41" s="66"/>
      <c r="H41" s="67"/>
      <c r="I41" s="68" t="s">
        <v>57</v>
      </c>
      <c r="J41" s="69"/>
      <c r="K41" s="70" t="str">
        <f>IF(E41="","",SUM(VLOOKUP(E41,B35:L38,8,FALSE),VLOOKUP(E41,B35:L38,10,FALSE)))</f>
        <v/>
      </c>
      <c r="L41" s="70"/>
    </row>
    <row r="42" spans="1:12" ht="30" customHeight="1" x14ac:dyDescent="0.25">
      <c r="A42" s="68" t="s">
        <v>322</v>
      </c>
      <c r="B42" s="69"/>
      <c r="C42" s="90"/>
      <c r="D42" s="91"/>
      <c r="E42" s="91"/>
      <c r="F42" s="91"/>
      <c r="G42" s="91"/>
      <c r="H42" s="91"/>
      <c r="I42" s="91"/>
      <c r="J42" s="91"/>
      <c r="K42" s="91"/>
      <c r="L42" s="92"/>
    </row>
    <row r="43" spans="1:12" ht="30" customHeight="1" x14ac:dyDescent="0.25">
      <c r="A43" s="68" t="s">
        <v>323</v>
      </c>
      <c r="B43" s="69"/>
      <c r="C43" s="90"/>
      <c r="D43" s="91"/>
      <c r="E43" s="91"/>
      <c r="F43" s="91"/>
      <c r="G43" s="91"/>
      <c r="H43" s="91"/>
      <c r="I43" s="91"/>
      <c r="J43" s="91"/>
      <c r="K43" s="91"/>
      <c r="L43" s="92"/>
    </row>
    <row r="44" spans="1:12" ht="30" customHeight="1" x14ac:dyDescent="0.25">
      <c r="A44" s="68" t="s">
        <v>324</v>
      </c>
      <c r="B44" s="69"/>
      <c r="C44" s="90"/>
      <c r="D44" s="91"/>
      <c r="E44" s="91"/>
      <c r="F44" s="91"/>
      <c r="G44" s="91"/>
      <c r="H44" s="91"/>
      <c r="I44" s="91"/>
      <c r="J44" s="91"/>
      <c r="K44" s="91"/>
      <c r="L44" s="92"/>
    </row>
    <row r="45" spans="1:12" ht="30" customHeight="1" x14ac:dyDescent="0.25">
      <c r="A45" s="68" t="s">
        <v>325</v>
      </c>
      <c r="B45" s="69"/>
      <c r="C45" s="90"/>
      <c r="D45" s="91"/>
      <c r="E45" s="91"/>
      <c r="F45" s="91"/>
      <c r="G45" s="91"/>
      <c r="H45" s="91"/>
      <c r="I45" s="91"/>
      <c r="J45" s="91"/>
      <c r="K45" s="91"/>
      <c r="L45" s="92"/>
    </row>
    <row r="46" spans="1:12" ht="30" customHeight="1" x14ac:dyDescent="0.25">
      <c r="A46" s="55" t="s">
        <v>25</v>
      </c>
      <c r="B46" s="55"/>
      <c r="C46" s="55"/>
      <c r="D46" s="55"/>
      <c r="E46" s="55"/>
      <c r="F46" s="55"/>
      <c r="G46" s="55"/>
      <c r="H46" s="55"/>
      <c r="I46" s="55"/>
      <c r="J46" s="55"/>
      <c r="K46" s="55"/>
      <c r="L46" s="55"/>
    </row>
    <row r="47" spans="1:12" ht="30" customHeight="1" x14ac:dyDescent="0.25">
      <c r="A47" s="53"/>
      <c r="B47" s="53"/>
      <c r="C47" s="53"/>
      <c r="D47" s="53"/>
      <c r="E47" s="53"/>
      <c r="F47" s="53"/>
      <c r="G47" s="53"/>
      <c r="H47" s="53"/>
      <c r="I47" s="53"/>
      <c r="J47" s="53"/>
      <c r="K47" s="53"/>
      <c r="L47" s="53"/>
    </row>
    <row r="48" spans="1:12" ht="30" customHeight="1" x14ac:dyDescent="0.25">
      <c r="A48" s="53"/>
      <c r="B48" s="53"/>
      <c r="C48" s="53"/>
      <c r="D48" s="53"/>
      <c r="E48" s="53"/>
      <c r="F48" s="53"/>
      <c r="G48" s="53"/>
      <c r="H48" s="53"/>
      <c r="I48" s="53"/>
      <c r="J48" s="53"/>
      <c r="K48" s="53"/>
      <c r="L48" s="53"/>
    </row>
    <row r="49" spans="1:12" ht="30" customHeight="1" x14ac:dyDescent="0.25">
      <c r="A49" s="53"/>
      <c r="B49" s="53"/>
      <c r="C49" s="53"/>
      <c r="D49" s="53"/>
      <c r="E49" s="53"/>
      <c r="F49" s="53"/>
      <c r="G49" s="53"/>
      <c r="H49" s="53"/>
      <c r="I49" s="53"/>
      <c r="J49" s="53"/>
      <c r="K49" s="53"/>
      <c r="L49" s="53"/>
    </row>
    <row r="50" spans="1:12" ht="26.25" customHeight="1" x14ac:dyDescent="0.25">
      <c r="C50" s="71"/>
      <c r="D50" s="71"/>
      <c r="E50" s="71"/>
      <c r="F50" s="71"/>
      <c r="G50" s="71"/>
      <c r="H50" s="71"/>
      <c r="I50" s="71"/>
      <c r="J50" s="71"/>
      <c r="K50" s="71"/>
      <c r="L50" s="71"/>
    </row>
    <row r="51" spans="1:12" ht="30" customHeight="1" x14ac:dyDescent="0.25">
      <c r="A51" s="55" t="s">
        <v>26</v>
      </c>
      <c r="B51" s="55"/>
      <c r="C51" s="55"/>
      <c r="D51" s="55"/>
      <c r="E51" s="55"/>
      <c r="F51" s="55"/>
      <c r="G51" s="55"/>
      <c r="H51" s="55"/>
      <c r="I51" s="55"/>
      <c r="J51" s="55"/>
      <c r="K51" s="55"/>
      <c r="L51" s="55"/>
    </row>
    <row r="52" spans="1:12" ht="30" customHeight="1" x14ac:dyDescent="0.25">
      <c r="A52" s="57" t="s">
        <v>27</v>
      </c>
      <c r="B52" s="57"/>
      <c r="C52" s="57"/>
      <c r="D52" s="57"/>
      <c r="E52" s="57"/>
      <c r="F52" s="57"/>
      <c r="G52" s="57"/>
      <c r="H52" s="57"/>
      <c r="I52" s="57"/>
      <c r="J52" s="57"/>
      <c r="K52" s="57"/>
      <c r="L52" s="57"/>
    </row>
    <row r="53" spans="1:12" ht="30" customHeight="1" x14ac:dyDescent="0.25">
      <c r="A53" s="57"/>
      <c r="B53" s="57"/>
      <c r="C53" s="57"/>
      <c r="D53" s="57"/>
      <c r="E53" s="57"/>
      <c r="F53" s="57"/>
      <c r="G53" s="57"/>
      <c r="H53" s="57"/>
      <c r="I53" s="57"/>
      <c r="J53" s="57"/>
      <c r="K53" s="57"/>
      <c r="L53" s="57"/>
    </row>
    <row r="54" spans="1:12" ht="30" customHeight="1" x14ac:dyDescent="0.25">
      <c r="A54" s="57"/>
      <c r="B54" s="57"/>
      <c r="C54" s="57"/>
      <c r="D54" s="57"/>
      <c r="E54" s="57"/>
      <c r="F54" s="57"/>
      <c r="G54" s="57"/>
      <c r="H54" s="57"/>
      <c r="I54" s="57"/>
      <c r="J54" s="57"/>
      <c r="K54" s="57"/>
      <c r="L54" s="57"/>
    </row>
    <row r="55" spans="1:12" ht="30" customHeight="1" x14ac:dyDescent="0.25">
      <c r="A55" s="57"/>
      <c r="B55" s="57"/>
      <c r="C55" s="57"/>
      <c r="D55" s="57"/>
      <c r="E55" s="57"/>
      <c r="F55" s="57"/>
      <c r="G55" s="57"/>
      <c r="H55" s="57"/>
      <c r="I55" s="57"/>
      <c r="J55" s="57"/>
      <c r="K55" s="57"/>
      <c r="L55" s="57"/>
    </row>
  </sheetData>
  <sheetProtection algorithmName="SHA-512" hashValue="eQPxFIx9OM4wfrx8mOEDHxdlCSCRHfEF/6QY6IB3oZuOgNbXYgJC6n8plvRQsP2RSIu5qXhGmPnGUmxvJE8RNA==" saltValue="PthbF2+JhgDCR9O/Pez9bA=="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C13:H13">
      <formula1>INDIRECT($C$9)</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82"/>
      <c r="B1" s="82"/>
      <c r="C1" s="82"/>
      <c r="D1" s="82"/>
      <c r="E1" s="82"/>
      <c r="F1" s="82"/>
      <c r="G1" s="82"/>
      <c r="H1" s="82"/>
      <c r="I1" s="82"/>
      <c r="J1" s="82"/>
    </row>
    <row r="2" spans="1:10" ht="15" customHeight="1" x14ac:dyDescent="0.25">
      <c r="A2" s="83"/>
      <c r="B2" s="83"/>
      <c r="C2" s="83"/>
      <c r="D2" s="83"/>
      <c r="E2" s="83"/>
      <c r="F2" s="83"/>
      <c r="G2" s="83"/>
      <c r="H2" s="83"/>
      <c r="I2" s="83"/>
      <c r="J2" s="83"/>
    </row>
    <row r="3" spans="1:10" ht="18" customHeight="1" x14ac:dyDescent="0.25">
      <c r="A3" s="63"/>
      <c r="B3" s="127" t="s">
        <v>30</v>
      </c>
      <c r="C3" s="127"/>
      <c r="D3" s="127"/>
      <c r="E3" s="127"/>
      <c r="F3" s="127"/>
      <c r="G3" s="127"/>
      <c r="H3" s="62" t="s">
        <v>31</v>
      </c>
      <c r="I3" s="62"/>
      <c r="J3" s="62"/>
    </row>
    <row r="4" spans="1:10" ht="18" customHeight="1" x14ac:dyDescent="0.25">
      <c r="A4" s="63"/>
      <c r="B4" s="128"/>
      <c r="C4" s="128"/>
      <c r="D4" s="128"/>
      <c r="E4" s="128"/>
      <c r="F4" s="128"/>
      <c r="G4" s="128"/>
      <c r="H4" s="62"/>
      <c r="I4" s="62"/>
      <c r="J4" s="62"/>
    </row>
    <row r="5" spans="1:10" ht="18" customHeight="1" x14ac:dyDescent="0.25">
      <c r="A5" s="63"/>
      <c r="B5" s="129" t="s">
        <v>29</v>
      </c>
      <c r="C5" s="129"/>
      <c r="D5" s="129"/>
      <c r="E5" s="129"/>
      <c r="F5" s="129"/>
      <c r="G5" s="129"/>
      <c r="H5" s="14" t="s">
        <v>32</v>
      </c>
      <c r="I5" s="14" t="s">
        <v>33</v>
      </c>
      <c r="J5" s="14" t="s">
        <v>34</v>
      </c>
    </row>
    <row r="6" spans="1:10" ht="18" customHeight="1" x14ac:dyDescent="0.25">
      <c r="A6" s="63"/>
      <c r="B6" s="130"/>
      <c r="C6" s="130"/>
      <c r="D6" s="130"/>
      <c r="E6" s="130"/>
      <c r="F6" s="130"/>
      <c r="G6" s="130"/>
      <c r="H6" s="21"/>
      <c r="I6" s="21"/>
      <c r="J6" s="21"/>
    </row>
    <row r="7" spans="1:10" s="2" customFormat="1" ht="26.1" customHeight="1" x14ac:dyDescent="0.25">
      <c r="A7" s="124" t="s">
        <v>36</v>
      </c>
      <c r="B7" s="55"/>
      <c r="C7" s="55"/>
      <c r="D7" s="55"/>
      <c r="E7" s="125"/>
      <c r="F7" s="125"/>
      <c r="G7" s="125"/>
      <c r="H7" s="98" t="s">
        <v>35</v>
      </c>
      <c r="I7" s="98"/>
      <c r="J7" s="98"/>
    </row>
    <row r="8" spans="1:10" ht="26.1" customHeight="1" x14ac:dyDescent="0.25">
      <c r="A8" s="55"/>
      <c r="B8" s="55"/>
      <c r="C8" s="55"/>
      <c r="D8" s="55"/>
      <c r="E8" s="125"/>
      <c r="F8" s="125"/>
      <c r="G8" s="125"/>
      <c r="H8" s="126"/>
      <c r="I8" s="126"/>
      <c r="J8" s="126"/>
    </row>
    <row r="9" spans="1:10" ht="26.1" customHeight="1" x14ac:dyDescent="0.25">
      <c r="A9" s="98" t="s">
        <v>37</v>
      </c>
      <c r="B9" s="98"/>
      <c r="C9" s="98"/>
      <c r="D9" s="98"/>
      <c r="E9" s="98"/>
      <c r="F9" s="98"/>
      <c r="G9" s="98"/>
      <c r="H9" s="98"/>
      <c r="I9" s="98"/>
      <c r="J9" s="98"/>
    </row>
    <row r="10" spans="1:10" ht="30" customHeight="1" x14ac:dyDescent="0.25">
      <c r="A10" s="115"/>
      <c r="B10" s="116"/>
      <c r="C10" s="116"/>
      <c r="D10" s="116"/>
      <c r="E10" s="116"/>
      <c r="F10" s="116"/>
      <c r="G10" s="116"/>
      <c r="H10" s="116"/>
      <c r="I10" s="116"/>
      <c r="J10" s="117"/>
    </row>
    <row r="11" spans="1:10" ht="30" customHeight="1" x14ac:dyDescent="0.25">
      <c r="A11" s="118"/>
      <c r="B11" s="119"/>
      <c r="C11" s="119"/>
      <c r="D11" s="119"/>
      <c r="E11" s="119"/>
      <c r="F11" s="119"/>
      <c r="G11" s="119"/>
      <c r="H11" s="119"/>
      <c r="I11" s="119"/>
      <c r="J11" s="120"/>
    </row>
    <row r="12" spans="1:10" ht="30" customHeight="1" x14ac:dyDescent="0.25">
      <c r="A12" s="118"/>
      <c r="B12" s="119"/>
      <c r="C12" s="119"/>
      <c r="D12" s="119"/>
      <c r="E12" s="119"/>
      <c r="F12" s="119"/>
      <c r="G12" s="119"/>
      <c r="H12" s="119"/>
      <c r="I12" s="119"/>
      <c r="J12" s="120"/>
    </row>
    <row r="13" spans="1:10" ht="30" customHeight="1" x14ac:dyDescent="0.25">
      <c r="A13" s="121"/>
      <c r="B13" s="122"/>
      <c r="C13" s="122"/>
      <c r="D13" s="122"/>
      <c r="E13" s="122"/>
      <c r="F13" s="122"/>
      <c r="G13" s="122"/>
      <c r="H13" s="122"/>
      <c r="I13" s="122"/>
      <c r="J13" s="123"/>
    </row>
    <row r="14" spans="1:10" ht="26.1" customHeight="1" x14ac:dyDescent="0.25">
      <c r="A14" s="98" t="s">
        <v>38</v>
      </c>
      <c r="B14" s="98"/>
      <c r="C14" s="98"/>
      <c r="D14" s="98"/>
      <c r="E14" s="98"/>
      <c r="F14" s="98"/>
      <c r="G14" s="98"/>
      <c r="H14" s="98"/>
      <c r="I14" s="98"/>
      <c r="J14" s="98"/>
    </row>
    <row r="15" spans="1:10" ht="30" customHeight="1" x14ac:dyDescent="0.25">
      <c r="A15" s="59" t="s">
        <v>77</v>
      </c>
      <c r="B15" s="60"/>
      <c r="C15" s="60"/>
      <c r="D15" s="60"/>
      <c r="E15" s="60"/>
      <c r="F15" s="60"/>
      <c r="G15" s="61"/>
      <c r="H15" s="59" t="s">
        <v>78</v>
      </c>
      <c r="I15" s="60"/>
      <c r="J15" s="61"/>
    </row>
    <row r="16" spans="1:10" ht="30" customHeight="1" x14ac:dyDescent="0.25">
      <c r="A16" s="102"/>
      <c r="B16" s="103"/>
      <c r="C16" s="103"/>
      <c r="D16" s="103"/>
      <c r="E16" s="103"/>
      <c r="F16" s="103"/>
      <c r="G16" s="104"/>
      <c r="H16" s="99"/>
      <c r="I16" s="100"/>
      <c r="J16" s="101"/>
    </row>
    <row r="17" spans="1:10" ht="30" customHeight="1" x14ac:dyDescent="0.25">
      <c r="A17" s="102"/>
      <c r="B17" s="103"/>
      <c r="C17" s="103"/>
      <c r="D17" s="103"/>
      <c r="E17" s="103"/>
      <c r="F17" s="103"/>
      <c r="G17" s="104"/>
      <c r="H17" s="99"/>
      <c r="I17" s="100"/>
      <c r="J17" s="101"/>
    </row>
    <row r="18" spans="1:10" ht="30" customHeight="1" x14ac:dyDescent="0.25">
      <c r="A18" s="102"/>
      <c r="B18" s="103"/>
      <c r="C18" s="103"/>
      <c r="D18" s="103"/>
      <c r="E18" s="103"/>
      <c r="F18" s="103"/>
      <c r="G18" s="104"/>
      <c r="H18" s="99"/>
      <c r="I18" s="100"/>
      <c r="J18" s="101"/>
    </row>
    <row r="19" spans="1:10" ht="30" customHeight="1" x14ac:dyDescent="0.25">
      <c r="A19" s="102"/>
      <c r="B19" s="103"/>
      <c r="C19" s="103"/>
      <c r="D19" s="103"/>
      <c r="E19" s="103"/>
      <c r="F19" s="103"/>
      <c r="G19" s="104"/>
      <c r="H19" s="99"/>
      <c r="I19" s="100"/>
      <c r="J19" s="101"/>
    </row>
    <row r="20" spans="1:10" ht="30" customHeight="1" x14ac:dyDescent="0.25">
      <c r="A20" s="102"/>
      <c r="B20" s="103"/>
      <c r="C20" s="103"/>
      <c r="D20" s="103"/>
      <c r="E20" s="103"/>
      <c r="F20" s="103"/>
      <c r="G20" s="104"/>
      <c r="H20" s="99"/>
      <c r="I20" s="100"/>
      <c r="J20" s="101"/>
    </row>
    <row r="21" spans="1:10" ht="30" customHeight="1" x14ac:dyDescent="0.25">
      <c r="A21" s="102"/>
      <c r="B21" s="103"/>
      <c r="C21" s="103"/>
      <c r="D21" s="103"/>
      <c r="E21" s="103"/>
      <c r="F21" s="103"/>
      <c r="G21" s="104"/>
      <c r="H21" s="99"/>
      <c r="I21" s="100"/>
      <c r="J21" s="101"/>
    </row>
    <row r="22" spans="1:10" ht="30" customHeight="1" x14ac:dyDescent="0.25">
      <c r="A22" s="102"/>
      <c r="B22" s="103"/>
      <c r="C22" s="103"/>
      <c r="D22" s="103"/>
      <c r="E22" s="103"/>
      <c r="F22" s="103"/>
      <c r="G22" s="104"/>
      <c r="H22" s="99"/>
      <c r="I22" s="100"/>
      <c r="J22" s="101"/>
    </row>
    <row r="23" spans="1:10" ht="30" customHeight="1" x14ac:dyDescent="0.25">
      <c r="A23" s="102"/>
      <c r="B23" s="103"/>
      <c r="C23" s="103"/>
      <c r="D23" s="103"/>
      <c r="E23" s="103"/>
      <c r="F23" s="103"/>
      <c r="G23" s="104"/>
      <c r="H23" s="99"/>
      <c r="I23" s="100"/>
      <c r="J23" s="101"/>
    </row>
    <row r="24" spans="1:10" ht="30" customHeight="1" x14ac:dyDescent="0.25">
      <c r="A24" s="102"/>
      <c r="B24" s="103"/>
      <c r="C24" s="103"/>
      <c r="D24" s="103"/>
      <c r="E24" s="103"/>
      <c r="F24" s="103"/>
      <c r="G24" s="104"/>
      <c r="H24" s="99"/>
      <c r="I24" s="100"/>
      <c r="J24" s="101"/>
    </row>
    <row r="25" spans="1:10" ht="30" customHeight="1" x14ac:dyDescent="0.25">
      <c r="A25" s="102"/>
      <c r="B25" s="103"/>
      <c r="C25" s="103"/>
      <c r="D25" s="103"/>
      <c r="E25" s="103"/>
      <c r="F25" s="103"/>
      <c r="G25" s="104"/>
      <c r="H25" s="99"/>
      <c r="I25" s="100"/>
      <c r="J25" s="101"/>
    </row>
    <row r="26" spans="1:10" ht="30" customHeight="1" x14ac:dyDescent="0.25">
      <c r="A26" s="102"/>
      <c r="B26" s="103"/>
      <c r="C26" s="103"/>
      <c r="D26" s="103"/>
      <c r="E26" s="103"/>
      <c r="F26" s="103"/>
      <c r="G26" s="104"/>
      <c r="H26" s="99"/>
      <c r="I26" s="100"/>
      <c r="J26" s="101"/>
    </row>
    <row r="27" spans="1:10" ht="26.1" customHeight="1" x14ac:dyDescent="0.25">
      <c r="A27" s="98" t="s">
        <v>39</v>
      </c>
      <c r="B27" s="98"/>
      <c r="C27" s="98"/>
      <c r="D27" s="98"/>
      <c r="E27" s="98"/>
      <c r="F27" s="98"/>
      <c r="G27" s="98"/>
      <c r="H27" s="98"/>
      <c r="I27" s="98"/>
      <c r="J27" s="98"/>
    </row>
    <row r="28" spans="1:10" ht="24.95" customHeight="1" x14ac:dyDescent="0.25">
      <c r="A28" s="15" t="s">
        <v>40</v>
      </c>
      <c r="B28" s="113" t="s">
        <v>41</v>
      </c>
      <c r="C28" s="113"/>
      <c r="D28" s="113"/>
      <c r="E28" s="113"/>
      <c r="F28" s="113"/>
      <c r="G28" s="113"/>
      <c r="H28" s="113"/>
      <c r="I28" s="113"/>
      <c r="J28" s="114"/>
    </row>
    <row r="29" spans="1:10" ht="24.95" customHeight="1" x14ac:dyDescent="0.25">
      <c r="A29" s="109" t="s">
        <v>42</v>
      </c>
      <c r="B29" s="110"/>
      <c r="C29" s="110"/>
      <c r="D29" s="110"/>
      <c r="E29" s="110"/>
      <c r="F29" s="110"/>
      <c r="G29" s="110"/>
      <c r="H29" s="110"/>
      <c r="I29" s="110"/>
      <c r="J29" s="111"/>
    </row>
    <row r="30" spans="1:10" ht="24.95" customHeight="1" x14ac:dyDescent="0.25">
      <c r="A30" s="98" t="s">
        <v>89</v>
      </c>
      <c r="B30" s="98"/>
      <c r="C30" s="98"/>
      <c r="D30" s="98"/>
      <c r="E30" s="98"/>
      <c r="F30" s="98"/>
      <c r="G30" s="98"/>
      <c r="H30" s="98"/>
      <c r="I30" s="98"/>
      <c r="J30" s="98"/>
    </row>
    <row r="31" spans="1:10" ht="24.95" customHeight="1" x14ac:dyDescent="0.25">
      <c r="A31" s="112"/>
      <c r="B31" s="112"/>
      <c r="C31" s="112"/>
      <c r="D31" s="112"/>
      <c r="E31" s="112"/>
      <c r="F31" s="112"/>
      <c r="G31" s="112"/>
      <c r="H31" s="112"/>
      <c r="I31" s="112"/>
      <c r="J31" s="112"/>
    </row>
    <row r="32" spans="1:10" ht="24.95" customHeight="1" x14ac:dyDescent="0.25">
      <c r="A32" s="98" t="s">
        <v>43</v>
      </c>
      <c r="B32" s="98"/>
      <c r="C32" s="98"/>
      <c r="D32" s="98"/>
      <c r="E32" s="98"/>
      <c r="F32" s="98"/>
      <c r="G32" s="98"/>
      <c r="H32" s="98"/>
      <c r="I32" s="98"/>
      <c r="J32" s="98"/>
    </row>
    <row r="33" spans="1:10" ht="24.95" customHeight="1" x14ac:dyDescent="0.25">
      <c r="A33" s="20" t="s">
        <v>18</v>
      </c>
      <c r="B33" s="19"/>
      <c r="C33" s="20" t="s">
        <v>19</v>
      </c>
      <c r="D33" s="3"/>
      <c r="E33" s="107"/>
      <c r="F33" s="107"/>
      <c r="G33" s="107"/>
      <c r="H33" s="107"/>
      <c r="I33" s="107"/>
      <c r="J33" s="107"/>
    </row>
    <row r="34" spans="1:10" ht="24.95" customHeight="1" x14ac:dyDescent="0.25">
      <c r="A34" s="98" t="s">
        <v>44</v>
      </c>
      <c r="B34" s="98"/>
      <c r="C34" s="98"/>
      <c r="D34" s="98"/>
      <c r="E34" s="98"/>
      <c r="F34" s="98"/>
      <c r="G34" s="98"/>
      <c r="H34" s="98"/>
      <c r="I34" s="98"/>
      <c r="J34" s="98"/>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45</v>
      </c>
      <c r="C38" s="108"/>
      <c r="D38" s="108"/>
      <c r="E38" s="108"/>
      <c r="F38" s="16" t="s">
        <v>45</v>
      </c>
      <c r="G38" s="105" t="s">
        <v>41</v>
      </c>
      <c r="H38" s="105"/>
      <c r="I38" s="105"/>
      <c r="J38" s="106"/>
    </row>
    <row r="39" spans="1:10" ht="24.95" customHeight="1" x14ac:dyDescent="0.25">
      <c r="A39" s="10"/>
      <c r="B39" s="16" t="s">
        <v>46</v>
      </c>
      <c r="C39" s="108"/>
      <c r="D39" s="108"/>
      <c r="E39" s="108"/>
      <c r="F39" s="16" t="s">
        <v>46</v>
      </c>
      <c r="G39" s="105" t="s">
        <v>47</v>
      </c>
      <c r="H39" s="105"/>
      <c r="I39" s="105"/>
      <c r="J39" s="106"/>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05" t="s">
        <v>48</v>
      </c>
      <c r="C43" s="105"/>
      <c r="D43" s="105"/>
      <c r="E43" s="105"/>
      <c r="F43" s="105" t="s">
        <v>49</v>
      </c>
      <c r="G43" s="105"/>
      <c r="H43" s="105"/>
      <c r="I43" s="105"/>
      <c r="J43" s="106"/>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63"/>
      <c r="B3" s="127" t="s">
        <v>50</v>
      </c>
      <c r="C3" s="127"/>
      <c r="D3" s="127"/>
      <c r="E3" s="127"/>
      <c r="F3" s="127"/>
      <c r="G3" s="156"/>
      <c r="H3" s="62" t="s">
        <v>31</v>
      </c>
      <c r="I3" s="62"/>
      <c r="J3" s="62"/>
    </row>
    <row r="4" spans="1:10" ht="18" customHeight="1" x14ac:dyDescent="0.3">
      <c r="A4" s="63"/>
      <c r="B4" s="128" t="s">
        <v>51</v>
      </c>
      <c r="C4" s="128"/>
      <c r="D4" s="128"/>
      <c r="E4" s="128"/>
      <c r="F4" s="128"/>
      <c r="G4" s="157"/>
      <c r="H4" s="62"/>
      <c r="I4" s="62"/>
      <c r="J4" s="62"/>
    </row>
    <row r="5" spans="1:10" ht="18" customHeight="1" x14ac:dyDescent="0.3">
      <c r="A5" s="63"/>
      <c r="B5" s="158" t="s">
        <v>52</v>
      </c>
      <c r="C5" s="158"/>
      <c r="D5" s="158"/>
      <c r="E5" s="158"/>
      <c r="F5" s="158"/>
      <c r="G5" s="159"/>
      <c r="H5" s="14" t="s">
        <v>32</v>
      </c>
      <c r="I5" s="14" t="s">
        <v>33</v>
      </c>
      <c r="J5" s="14" t="s">
        <v>34</v>
      </c>
    </row>
    <row r="6" spans="1:10" ht="18" customHeight="1" x14ac:dyDescent="0.25">
      <c r="A6" s="63"/>
      <c r="B6" s="130" t="s">
        <v>53</v>
      </c>
      <c r="C6" s="130"/>
      <c r="D6" s="130"/>
      <c r="E6" s="130"/>
      <c r="F6" s="130"/>
      <c r="G6" s="153"/>
      <c r="H6" s="28"/>
      <c r="I6" s="28"/>
      <c r="J6" s="28"/>
    </row>
    <row r="7" spans="1:10" ht="26.1" customHeight="1" x14ac:dyDescent="0.25">
      <c r="A7" s="154" t="s">
        <v>54</v>
      </c>
      <c r="B7" s="154"/>
      <c r="C7" s="154"/>
      <c r="D7" s="154"/>
      <c r="E7" s="154"/>
      <c r="F7" s="154"/>
      <c r="G7" s="154"/>
      <c r="H7" s="154"/>
      <c r="I7" s="154"/>
      <c r="J7" s="154"/>
    </row>
    <row r="8" spans="1:10" ht="26.1" customHeight="1" x14ac:dyDescent="0.25">
      <c r="A8" s="154"/>
      <c r="B8" s="154"/>
      <c r="C8" s="154"/>
      <c r="D8" s="154"/>
      <c r="E8" s="154"/>
      <c r="F8" s="154"/>
      <c r="G8" s="154"/>
      <c r="H8" s="154"/>
      <c r="I8" s="154"/>
      <c r="J8" s="154"/>
    </row>
    <row r="9" spans="1:10" ht="26.1" customHeight="1" x14ac:dyDescent="0.25">
      <c r="A9" s="154"/>
      <c r="B9" s="154"/>
      <c r="C9" s="154"/>
      <c r="D9" s="154"/>
      <c r="E9" s="154"/>
      <c r="F9" s="154"/>
      <c r="G9" s="154"/>
      <c r="H9" s="154"/>
      <c r="I9" s="154"/>
      <c r="J9" s="154"/>
    </row>
    <row r="10" spans="1:10" ht="26.1" customHeight="1" x14ac:dyDescent="0.25">
      <c r="A10" s="98" t="s">
        <v>17</v>
      </c>
      <c r="B10" s="98"/>
      <c r="C10" s="98"/>
      <c r="D10" s="98"/>
      <c r="E10" s="98"/>
      <c r="F10" s="98"/>
      <c r="G10" s="98"/>
      <c r="H10" s="98"/>
      <c r="I10" s="98"/>
      <c r="J10" s="98"/>
    </row>
    <row r="11" spans="1:10" ht="30" customHeight="1" x14ac:dyDescent="0.25">
      <c r="A11" s="59" t="s">
        <v>77</v>
      </c>
      <c r="B11" s="60"/>
      <c r="C11" s="60"/>
      <c r="D11" s="60"/>
      <c r="E11" s="60"/>
      <c r="F11" s="60"/>
      <c r="G11" s="61"/>
      <c r="H11" s="59" t="s">
        <v>78</v>
      </c>
      <c r="I11" s="60"/>
      <c r="J11" s="61"/>
    </row>
    <row r="12" spans="1:10" ht="30" customHeight="1" x14ac:dyDescent="0.25">
      <c r="A12" s="102"/>
      <c r="B12" s="103"/>
      <c r="C12" s="103"/>
      <c r="D12" s="103"/>
      <c r="E12" s="103"/>
      <c r="F12" s="103"/>
      <c r="G12" s="104"/>
      <c r="H12" s="99"/>
      <c r="I12" s="100"/>
      <c r="J12" s="101"/>
    </row>
    <row r="13" spans="1:10" ht="30" customHeight="1" x14ac:dyDescent="0.25">
      <c r="A13" s="102"/>
      <c r="B13" s="103"/>
      <c r="C13" s="103"/>
      <c r="D13" s="103"/>
      <c r="E13" s="103"/>
      <c r="F13" s="103"/>
      <c r="G13" s="104"/>
      <c r="H13" s="99"/>
      <c r="I13" s="100"/>
      <c r="J13" s="101"/>
    </row>
    <row r="14" spans="1:10" ht="30" customHeight="1" x14ac:dyDescent="0.25">
      <c r="A14" s="102"/>
      <c r="B14" s="103"/>
      <c r="C14" s="103"/>
      <c r="D14" s="103"/>
      <c r="E14" s="103"/>
      <c r="F14" s="103"/>
      <c r="G14" s="104"/>
      <c r="H14" s="99"/>
      <c r="I14" s="100"/>
      <c r="J14" s="101"/>
    </row>
    <row r="15" spans="1:10" ht="30" customHeight="1" x14ac:dyDescent="0.25">
      <c r="A15" s="102"/>
      <c r="B15" s="103"/>
      <c r="C15" s="103"/>
      <c r="D15" s="103"/>
      <c r="E15" s="103"/>
      <c r="F15" s="103"/>
      <c r="G15" s="104"/>
      <c r="H15" s="99"/>
      <c r="I15" s="100"/>
      <c r="J15" s="101"/>
    </row>
    <row r="16" spans="1:10" ht="30" customHeight="1" x14ac:dyDescent="0.25">
      <c r="A16" s="102"/>
      <c r="B16" s="103"/>
      <c r="C16" s="103"/>
      <c r="D16" s="103"/>
      <c r="E16" s="103"/>
      <c r="F16" s="103"/>
      <c r="G16" s="104"/>
      <c r="H16" s="99"/>
      <c r="I16" s="100"/>
      <c r="J16" s="101"/>
    </row>
    <row r="17" spans="1:10" ht="30" customHeight="1" x14ac:dyDescent="0.25">
      <c r="A17" s="102"/>
      <c r="B17" s="103"/>
      <c r="C17" s="103"/>
      <c r="D17" s="103"/>
      <c r="E17" s="103"/>
      <c r="F17" s="103"/>
      <c r="G17" s="104"/>
      <c r="H17" s="99"/>
      <c r="I17" s="100"/>
      <c r="J17" s="101"/>
    </row>
    <row r="18" spans="1:10" ht="30" customHeight="1" x14ac:dyDescent="0.25">
      <c r="A18" s="102"/>
      <c r="B18" s="103"/>
      <c r="C18" s="103"/>
      <c r="D18" s="103"/>
      <c r="E18" s="103"/>
      <c r="F18" s="103"/>
      <c r="G18" s="104"/>
      <c r="H18" s="99"/>
      <c r="I18" s="100"/>
      <c r="J18" s="101"/>
    </row>
    <row r="19" spans="1:10" ht="30" customHeight="1" x14ac:dyDescent="0.25">
      <c r="A19" s="102"/>
      <c r="B19" s="103"/>
      <c r="C19" s="103"/>
      <c r="D19" s="103"/>
      <c r="E19" s="103"/>
      <c r="F19" s="103"/>
      <c r="G19" s="104"/>
      <c r="H19" s="99"/>
      <c r="I19" s="100"/>
      <c r="J19" s="101"/>
    </row>
    <row r="20" spans="1:10" ht="30" customHeight="1" x14ac:dyDescent="0.25">
      <c r="A20" s="102"/>
      <c r="B20" s="103"/>
      <c r="C20" s="103"/>
      <c r="D20" s="103"/>
      <c r="E20" s="103"/>
      <c r="F20" s="103"/>
      <c r="G20" s="104"/>
      <c r="H20" s="99"/>
      <c r="I20" s="100"/>
      <c r="J20" s="101"/>
    </row>
    <row r="21" spans="1:10" ht="30" customHeight="1" x14ac:dyDescent="0.25">
      <c r="A21" s="102"/>
      <c r="B21" s="103"/>
      <c r="C21" s="103"/>
      <c r="D21" s="103"/>
      <c r="E21" s="103"/>
      <c r="F21" s="103"/>
      <c r="G21" s="104"/>
      <c r="H21" s="99"/>
      <c r="I21" s="100"/>
      <c r="J21" s="101"/>
    </row>
    <row r="22" spans="1:10" ht="30" customHeight="1" x14ac:dyDescent="0.25">
      <c r="A22" s="102"/>
      <c r="B22" s="103"/>
      <c r="C22" s="103"/>
      <c r="D22" s="103"/>
      <c r="E22" s="103"/>
      <c r="F22" s="103"/>
      <c r="G22" s="104"/>
      <c r="H22" s="99"/>
      <c r="I22" s="100"/>
      <c r="J22" s="101"/>
    </row>
    <row r="23" spans="1:10" ht="26.1" customHeight="1" x14ac:dyDescent="0.25">
      <c r="A23" s="98" t="s">
        <v>55</v>
      </c>
      <c r="B23" s="98"/>
      <c r="C23" s="98"/>
      <c r="D23" s="98"/>
      <c r="E23" s="98"/>
      <c r="F23" s="98"/>
      <c r="G23" s="98"/>
      <c r="H23" s="98"/>
      <c r="I23" s="98"/>
      <c r="J23" s="98"/>
    </row>
    <row r="24" spans="1:10" ht="30" customHeight="1" x14ac:dyDescent="0.25">
      <c r="A24" s="26" t="s">
        <v>23</v>
      </c>
      <c r="B24" s="155" t="s">
        <v>21</v>
      </c>
      <c r="C24" s="155"/>
      <c r="D24" s="155"/>
      <c r="E24" s="62" t="s">
        <v>6</v>
      </c>
      <c r="F24" s="62"/>
      <c r="G24" s="62" t="s">
        <v>22</v>
      </c>
      <c r="H24" s="62"/>
      <c r="I24" s="97" t="s">
        <v>93</v>
      </c>
      <c r="J24" s="97"/>
    </row>
    <row r="25" spans="1:10" ht="26.1" customHeight="1" x14ac:dyDescent="0.25">
      <c r="A25" s="31">
        <v>1</v>
      </c>
      <c r="B25" s="160"/>
      <c r="C25" s="161"/>
      <c r="D25" s="162"/>
      <c r="E25" s="101"/>
      <c r="F25" s="75"/>
      <c r="G25" s="75"/>
      <c r="H25" s="75"/>
      <c r="I25" s="72"/>
      <c r="J25" s="72"/>
    </row>
    <row r="26" spans="1:10" ht="26.1" customHeight="1" x14ac:dyDescent="0.25">
      <c r="A26" s="24">
        <v>2</v>
      </c>
      <c r="B26" s="160"/>
      <c r="C26" s="161"/>
      <c r="D26" s="162"/>
      <c r="E26" s="75"/>
      <c r="F26" s="75"/>
      <c r="G26" s="75"/>
      <c r="H26" s="75"/>
      <c r="I26" s="72"/>
      <c r="J26" s="72"/>
    </row>
    <row r="27" spans="1:10" ht="26.1" customHeight="1" x14ac:dyDescent="0.25">
      <c r="A27" s="24">
        <v>3</v>
      </c>
      <c r="B27" s="160"/>
      <c r="C27" s="161"/>
      <c r="D27" s="162"/>
      <c r="E27" s="75"/>
      <c r="F27" s="75"/>
      <c r="G27" s="75"/>
      <c r="H27" s="75"/>
      <c r="I27" s="72"/>
      <c r="J27" s="72"/>
    </row>
    <row r="28" spans="1:10" ht="26.1" customHeight="1" x14ac:dyDescent="0.25">
      <c r="A28" s="24">
        <v>4</v>
      </c>
      <c r="B28" s="160"/>
      <c r="C28" s="161"/>
      <c r="D28" s="162"/>
      <c r="E28" s="75"/>
      <c r="F28" s="75"/>
      <c r="G28" s="75"/>
      <c r="H28" s="75"/>
      <c r="I28" s="72"/>
      <c r="J28" s="72"/>
    </row>
    <row r="29" spans="1:10" s="17" customFormat="1" ht="26.1" customHeight="1" x14ac:dyDescent="0.25">
      <c r="A29" s="64" t="s">
        <v>56</v>
      </c>
      <c r="B29" s="64"/>
      <c r="C29" s="64"/>
      <c r="D29" s="64"/>
      <c r="E29" s="163"/>
      <c r="F29" s="164"/>
      <c r="G29" s="68" t="s">
        <v>57</v>
      </c>
      <c r="H29" s="69"/>
      <c r="I29" s="70" t="str">
        <f>IF(E29="","",VLOOKUP(E29,B25:I28,8,FALSE))</f>
        <v/>
      </c>
      <c r="J29" s="70"/>
    </row>
    <row r="30" spans="1:10" s="17" customFormat="1" ht="26.1" customHeight="1" x14ac:dyDescent="0.25">
      <c r="A30" s="68" t="s">
        <v>322</v>
      </c>
      <c r="B30" s="69"/>
      <c r="C30" s="150"/>
      <c r="D30" s="151"/>
      <c r="E30" s="151"/>
      <c r="F30" s="151"/>
      <c r="G30" s="151"/>
      <c r="H30" s="151"/>
      <c r="I30" s="151"/>
      <c r="J30" s="152"/>
    </row>
    <row r="31" spans="1:10" s="17" customFormat="1" ht="26.1" customHeight="1" x14ac:dyDescent="0.25">
      <c r="A31" s="68" t="s">
        <v>323</v>
      </c>
      <c r="B31" s="69"/>
      <c r="C31" s="150"/>
      <c r="D31" s="151"/>
      <c r="E31" s="151"/>
      <c r="F31" s="151"/>
      <c r="G31" s="151"/>
      <c r="H31" s="151"/>
      <c r="I31" s="151"/>
      <c r="J31" s="152"/>
    </row>
    <row r="32" spans="1:10" s="17" customFormat="1" ht="26.1" customHeight="1" x14ac:dyDescent="0.25">
      <c r="A32" s="68" t="s">
        <v>324</v>
      </c>
      <c r="B32" s="69"/>
      <c r="C32" s="150"/>
      <c r="D32" s="151"/>
      <c r="E32" s="151"/>
      <c r="F32" s="151"/>
      <c r="G32" s="151"/>
      <c r="H32" s="151"/>
      <c r="I32" s="151"/>
      <c r="J32" s="152"/>
    </row>
    <row r="33" spans="1:10" s="17" customFormat="1" ht="26.1" customHeight="1" x14ac:dyDescent="0.25">
      <c r="A33" s="68" t="s">
        <v>325</v>
      </c>
      <c r="B33" s="69"/>
      <c r="C33" s="150"/>
      <c r="D33" s="151"/>
      <c r="E33" s="151"/>
      <c r="F33" s="151"/>
      <c r="G33" s="151"/>
      <c r="H33" s="151"/>
      <c r="I33" s="151"/>
      <c r="J33" s="152"/>
    </row>
    <row r="34" spans="1:10" ht="26.1" customHeight="1" x14ac:dyDescent="0.25">
      <c r="A34" s="98" t="s">
        <v>25</v>
      </c>
      <c r="B34" s="98"/>
      <c r="C34" s="98"/>
      <c r="D34" s="98"/>
      <c r="E34" s="98"/>
      <c r="F34" s="98"/>
      <c r="G34" s="98"/>
      <c r="H34" s="98"/>
      <c r="I34" s="98"/>
      <c r="J34" s="98"/>
    </row>
    <row r="35" spans="1:10" ht="26.1" customHeight="1" x14ac:dyDescent="0.25">
      <c r="A35" s="140"/>
      <c r="B35" s="141"/>
      <c r="C35" s="141"/>
      <c r="D35" s="141"/>
      <c r="E35" s="141"/>
      <c r="F35" s="141"/>
      <c r="G35" s="141"/>
      <c r="H35" s="141"/>
      <c r="I35" s="141"/>
      <c r="J35" s="142"/>
    </row>
    <row r="36" spans="1:10" ht="26.1" customHeight="1" x14ac:dyDescent="0.25">
      <c r="A36" s="143"/>
      <c r="B36" s="144"/>
      <c r="C36" s="144"/>
      <c r="D36" s="144"/>
      <c r="E36" s="144"/>
      <c r="F36" s="144"/>
      <c r="G36" s="144"/>
      <c r="H36" s="144"/>
      <c r="I36" s="144"/>
      <c r="J36" s="145"/>
    </row>
    <row r="37" spans="1:10" ht="26.1" customHeight="1" x14ac:dyDescent="0.25">
      <c r="A37" s="146"/>
      <c r="B37" s="147"/>
      <c r="C37" s="147"/>
      <c r="D37" s="147"/>
      <c r="E37" s="147"/>
      <c r="F37" s="147"/>
      <c r="G37" s="147"/>
      <c r="H37" s="147"/>
      <c r="I37" s="147"/>
      <c r="J37" s="148"/>
    </row>
    <row r="38" spans="1:10" s="2" customFormat="1" ht="26.1" customHeight="1" x14ac:dyDescent="0.25">
      <c r="A38" s="64" t="s">
        <v>58</v>
      </c>
      <c r="B38" s="64"/>
      <c r="C38" s="125"/>
      <c r="D38" s="125"/>
      <c r="E38" s="149" t="s">
        <v>59</v>
      </c>
      <c r="F38" s="149"/>
      <c r="G38" s="137"/>
      <c r="H38" s="138"/>
      <c r="I38" s="138"/>
      <c r="J38" s="139"/>
    </row>
    <row r="39" spans="1:10" s="2" customFormat="1" ht="26.1" customHeight="1" x14ac:dyDescent="0.25">
      <c r="A39" s="64" t="s">
        <v>60</v>
      </c>
      <c r="B39" s="64"/>
      <c r="C39" s="126"/>
      <c r="D39" s="126"/>
      <c r="E39" s="64" t="s">
        <v>61</v>
      </c>
      <c r="F39" s="64"/>
      <c r="G39" s="126"/>
      <c r="H39" s="126"/>
      <c r="I39" s="126"/>
      <c r="J39" s="126"/>
    </row>
    <row r="40" spans="1:10" s="2" customFormat="1" ht="26.1" customHeight="1" x14ac:dyDescent="0.25">
      <c r="A40" s="131"/>
      <c r="B40" s="132"/>
      <c r="C40" s="132"/>
      <c r="D40" s="132"/>
      <c r="E40" s="132"/>
      <c r="F40" s="132"/>
      <c r="G40" s="132"/>
      <c r="H40" s="132"/>
      <c r="I40" s="132"/>
      <c r="J40" s="133"/>
    </row>
    <row r="41" spans="1:10" s="2" customFormat="1" ht="26.1" customHeight="1" x14ac:dyDescent="0.25">
      <c r="A41" s="134"/>
      <c r="B41" s="135"/>
      <c r="C41" s="135"/>
      <c r="D41" s="135"/>
      <c r="E41" s="135"/>
      <c r="F41" s="135"/>
      <c r="G41" s="135"/>
      <c r="H41" s="135"/>
      <c r="I41" s="135"/>
      <c r="J41" s="136"/>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D757"/>
  <sheetViews>
    <sheetView topLeftCell="A223" workbookViewId="0">
      <selection activeCell="F167" sqref="F167"/>
    </sheetView>
  </sheetViews>
  <sheetFormatPr baseColWidth="10" defaultColWidth="11.42578125" defaultRowHeight="15" x14ac:dyDescent="0.25"/>
  <cols>
    <col min="1" max="1" width="44.7109375" style="40" bestFit="1" customWidth="1"/>
    <col min="2" max="2" width="103.42578125" style="40" customWidth="1"/>
    <col min="3" max="3" width="20.28515625" style="39" customWidth="1"/>
    <col min="4" max="4" width="17.140625" style="39" customWidth="1"/>
    <col min="5" max="16384" width="11.42578125" style="29"/>
  </cols>
  <sheetData>
    <row r="1" spans="1:4" x14ac:dyDescent="0.25">
      <c r="A1" s="18" t="s">
        <v>345</v>
      </c>
      <c r="B1" s="45" t="s">
        <v>346</v>
      </c>
      <c r="C1" s="18" t="s">
        <v>75</v>
      </c>
      <c r="D1" s="18" t="s">
        <v>16</v>
      </c>
    </row>
    <row r="2" spans="1:4" ht="24" x14ac:dyDescent="0.25">
      <c r="A2" s="37" t="s">
        <v>327</v>
      </c>
      <c r="B2" s="44" t="s">
        <v>600</v>
      </c>
      <c r="C2" s="49" t="s">
        <v>601</v>
      </c>
      <c r="D2" s="39">
        <v>10410023</v>
      </c>
    </row>
    <row r="3" spans="1:4" x14ac:dyDescent="0.25">
      <c r="A3" s="37" t="s">
        <v>352</v>
      </c>
      <c r="B3" s="44" t="s">
        <v>720</v>
      </c>
      <c r="C3" s="49" t="s">
        <v>721</v>
      </c>
      <c r="D3" s="39">
        <v>20230009</v>
      </c>
    </row>
    <row r="4" spans="1:4" x14ac:dyDescent="0.25">
      <c r="A4" s="37" t="s">
        <v>352</v>
      </c>
      <c r="B4" s="44" t="s">
        <v>797</v>
      </c>
      <c r="C4" s="49" t="s">
        <v>798</v>
      </c>
      <c r="D4" s="39">
        <v>20230009</v>
      </c>
    </row>
    <row r="5" spans="1:4" x14ac:dyDescent="0.25">
      <c r="A5" s="37" t="s">
        <v>352</v>
      </c>
      <c r="B5" s="40" t="s">
        <v>822</v>
      </c>
      <c r="C5" s="49" t="s">
        <v>823</v>
      </c>
      <c r="D5" s="39">
        <v>20230009</v>
      </c>
    </row>
    <row r="6" spans="1:4" x14ac:dyDescent="0.25">
      <c r="A6" s="37" t="s">
        <v>329</v>
      </c>
      <c r="B6" s="44" t="s">
        <v>198</v>
      </c>
      <c r="C6" s="49" t="s">
        <v>94</v>
      </c>
      <c r="D6" s="39">
        <v>20230009</v>
      </c>
    </row>
    <row r="7" spans="1:4" ht="24" x14ac:dyDescent="0.25">
      <c r="A7" s="37" t="s">
        <v>329</v>
      </c>
      <c r="B7" s="44" t="s">
        <v>199</v>
      </c>
      <c r="C7" s="50" t="s">
        <v>95</v>
      </c>
      <c r="D7" s="39">
        <v>20230009</v>
      </c>
    </row>
    <row r="8" spans="1:4" x14ac:dyDescent="0.25">
      <c r="A8" s="37" t="s">
        <v>329</v>
      </c>
      <c r="B8" s="44" t="s">
        <v>764</v>
      </c>
      <c r="C8" s="50" t="s">
        <v>602</v>
      </c>
      <c r="D8" s="39">
        <v>10410023</v>
      </c>
    </row>
    <row r="9" spans="1:4" ht="24" x14ac:dyDescent="0.25">
      <c r="A9" s="37" t="s">
        <v>329</v>
      </c>
      <c r="B9" s="44" t="s">
        <v>200</v>
      </c>
      <c r="C9" s="50" t="s">
        <v>96</v>
      </c>
      <c r="D9" s="39">
        <v>20230009</v>
      </c>
    </row>
    <row r="10" spans="1:4" ht="24" x14ac:dyDescent="0.25">
      <c r="A10" s="37" t="s">
        <v>329</v>
      </c>
      <c r="B10" s="44" t="s">
        <v>722</v>
      </c>
      <c r="C10" s="50" t="s">
        <v>723</v>
      </c>
      <c r="D10" s="39">
        <v>10410023</v>
      </c>
    </row>
    <row r="11" spans="1:4" x14ac:dyDescent="0.25">
      <c r="A11" s="37" t="s">
        <v>329</v>
      </c>
      <c r="B11" s="44" t="s">
        <v>765</v>
      </c>
      <c r="C11" s="50" t="s">
        <v>603</v>
      </c>
      <c r="D11" s="39">
        <v>10410023</v>
      </c>
    </row>
    <row r="12" spans="1:4" ht="24" x14ac:dyDescent="0.25">
      <c r="A12" s="37" t="s">
        <v>347</v>
      </c>
      <c r="B12" s="44" t="s">
        <v>201</v>
      </c>
      <c r="C12" s="50" t="s">
        <v>97</v>
      </c>
      <c r="D12" s="39">
        <v>20230009</v>
      </c>
    </row>
    <row r="13" spans="1:4" x14ac:dyDescent="0.25">
      <c r="A13" s="37" t="s">
        <v>347</v>
      </c>
      <c r="B13" s="44" t="s">
        <v>202</v>
      </c>
      <c r="C13" s="50" t="s">
        <v>98</v>
      </c>
      <c r="D13" s="39">
        <v>20230009</v>
      </c>
    </row>
    <row r="14" spans="1:4" x14ac:dyDescent="0.25">
      <c r="A14" s="37" t="s">
        <v>347</v>
      </c>
      <c r="B14" s="44" t="s">
        <v>766</v>
      </c>
      <c r="C14" s="50" t="s">
        <v>604</v>
      </c>
      <c r="D14" s="39">
        <v>10410023</v>
      </c>
    </row>
    <row r="15" spans="1:4" x14ac:dyDescent="0.25">
      <c r="A15" s="37" t="s">
        <v>347</v>
      </c>
      <c r="B15" s="44" t="s">
        <v>670</v>
      </c>
      <c r="C15" s="50" t="s">
        <v>99</v>
      </c>
      <c r="D15" s="39">
        <v>20230009</v>
      </c>
    </row>
    <row r="16" spans="1:4" x14ac:dyDescent="0.25">
      <c r="A16" s="37" t="s">
        <v>347</v>
      </c>
      <c r="B16" s="44" t="s">
        <v>203</v>
      </c>
      <c r="C16" s="50" t="s">
        <v>100</v>
      </c>
      <c r="D16" s="39">
        <v>20230009</v>
      </c>
    </row>
    <row r="17" spans="1:4" x14ac:dyDescent="0.25">
      <c r="A17" s="37" t="s">
        <v>347</v>
      </c>
      <c r="B17" s="44" t="s">
        <v>767</v>
      </c>
      <c r="C17" s="50" t="s">
        <v>605</v>
      </c>
      <c r="D17" s="39">
        <v>10410023</v>
      </c>
    </row>
    <row r="18" spans="1:4" ht="24" x14ac:dyDescent="0.25">
      <c r="A18" s="37" t="s">
        <v>347</v>
      </c>
      <c r="B18" s="44" t="s">
        <v>606</v>
      </c>
      <c r="C18" s="50" t="s">
        <v>607</v>
      </c>
      <c r="D18" s="39">
        <v>10410023</v>
      </c>
    </row>
    <row r="19" spans="1:4" ht="24" x14ac:dyDescent="0.25">
      <c r="A19" s="37" t="s">
        <v>354</v>
      </c>
      <c r="B19" s="44" t="s">
        <v>724</v>
      </c>
      <c r="C19" s="50" t="s">
        <v>725</v>
      </c>
      <c r="D19" s="39">
        <v>20230009</v>
      </c>
    </row>
    <row r="20" spans="1:4" x14ac:dyDescent="0.25">
      <c r="A20" s="37" t="s">
        <v>354</v>
      </c>
      <c r="B20" s="44" t="s">
        <v>650</v>
      </c>
      <c r="C20" s="50" t="s">
        <v>651</v>
      </c>
      <c r="D20" s="39">
        <v>20230021</v>
      </c>
    </row>
    <row r="21" spans="1:4" ht="24" x14ac:dyDescent="0.25">
      <c r="A21" s="37" t="s">
        <v>14</v>
      </c>
      <c r="B21" s="44" t="s">
        <v>671</v>
      </c>
      <c r="C21" s="50" t="s">
        <v>672</v>
      </c>
      <c r="D21" s="39">
        <v>20230009</v>
      </c>
    </row>
    <row r="22" spans="1:4" ht="24" x14ac:dyDescent="0.25">
      <c r="A22" s="37" t="s">
        <v>14</v>
      </c>
      <c r="B22" s="44" t="s">
        <v>673</v>
      </c>
      <c r="C22" s="50" t="s">
        <v>674</v>
      </c>
      <c r="D22" s="39">
        <v>20230009</v>
      </c>
    </row>
    <row r="23" spans="1:4" x14ac:dyDescent="0.25">
      <c r="A23" s="37" t="s">
        <v>14</v>
      </c>
      <c r="B23" s="44" t="s">
        <v>675</v>
      </c>
      <c r="C23" s="50" t="s">
        <v>676</v>
      </c>
      <c r="D23" s="39">
        <v>20230009</v>
      </c>
    </row>
    <row r="24" spans="1:4" ht="24" x14ac:dyDescent="0.25">
      <c r="A24" s="37" t="s">
        <v>14</v>
      </c>
      <c r="B24" s="44" t="s">
        <v>677</v>
      </c>
      <c r="C24" s="50" t="s">
        <v>678</v>
      </c>
      <c r="D24" s="39">
        <v>20230009</v>
      </c>
    </row>
    <row r="25" spans="1:4" x14ac:dyDescent="0.25">
      <c r="A25" s="37" t="s">
        <v>14</v>
      </c>
      <c r="B25" s="44" t="s">
        <v>679</v>
      </c>
      <c r="C25" s="50" t="s">
        <v>680</v>
      </c>
      <c r="D25" s="39">
        <v>20230009</v>
      </c>
    </row>
    <row r="26" spans="1:4" x14ac:dyDescent="0.25">
      <c r="A26" s="37" t="s">
        <v>14</v>
      </c>
      <c r="B26" s="44" t="s">
        <v>681</v>
      </c>
      <c r="C26" s="50" t="s">
        <v>682</v>
      </c>
      <c r="D26" s="39">
        <v>20230015</v>
      </c>
    </row>
    <row r="27" spans="1:4" ht="24" x14ac:dyDescent="0.25">
      <c r="A27" s="37" t="s">
        <v>14</v>
      </c>
      <c r="B27" s="44" t="s">
        <v>683</v>
      </c>
      <c r="C27" s="50" t="s">
        <v>684</v>
      </c>
      <c r="D27" s="39">
        <v>20230015</v>
      </c>
    </row>
    <row r="28" spans="1:4" x14ac:dyDescent="0.25">
      <c r="A28" s="37" t="s">
        <v>14</v>
      </c>
      <c r="B28" s="44" t="s">
        <v>685</v>
      </c>
      <c r="C28" s="50" t="s">
        <v>686</v>
      </c>
      <c r="D28" s="39">
        <v>20230015</v>
      </c>
    </row>
    <row r="29" spans="1:4" x14ac:dyDescent="0.25">
      <c r="A29" s="37" t="s">
        <v>14</v>
      </c>
      <c r="B29" s="44" t="s">
        <v>687</v>
      </c>
      <c r="C29" s="50" t="s">
        <v>688</v>
      </c>
      <c r="D29" s="39">
        <v>20230015</v>
      </c>
    </row>
    <row r="30" spans="1:4" x14ac:dyDescent="0.25">
      <c r="A30" s="37" t="s">
        <v>332</v>
      </c>
      <c r="B30" s="44" t="s">
        <v>768</v>
      </c>
      <c r="C30" s="50" t="s">
        <v>608</v>
      </c>
      <c r="D30" s="39">
        <v>10410023</v>
      </c>
    </row>
    <row r="31" spans="1:4" ht="24" x14ac:dyDescent="0.25">
      <c r="A31" s="37" t="s">
        <v>332</v>
      </c>
      <c r="B31" s="44" t="s">
        <v>204</v>
      </c>
      <c r="C31" s="50" t="s">
        <v>101</v>
      </c>
      <c r="D31" s="39">
        <v>20230009</v>
      </c>
    </row>
    <row r="32" spans="1:4" ht="24" x14ac:dyDescent="0.25">
      <c r="A32" s="37" t="s">
        <v>332</v>
      </c>
      <c r="B32" s="44" t="s">
        <v>205</v>
      </c>
      <c r="C32" s="50" t="s">
        <v>102</v>
      </c>
      <c r="D32" s="39">
        <v>20230009</v>
      </c>
    </row>
    <row r="33" spans="1:4" x14ac:dyDescent="0.25">
      <c r="A33" s="37" t="s">
        <v>332</v>
      </c>
      <c r="B33" s="44" t="s">
        <v>206</v>
      </c>
      <c r="C33" s="50" t="s">
        <v>103</v>
      </c>
      <c r="D33" s="39">
        <v>20230009</v>
      </c>
    </row>
    <row r="34" spans="1:4" ht="24" x14ac:dyDescent="0.25">
      <c r="A34" s="37" t="s">
        <v>332</v>
      </c>
      <c r="B34" s="44" t="s">
        <v>207</v>
      </c>
      <c r="C34" s="50" t="s">
        <v>104</v>
      </c>
      <c r="D34" s="39">
        <v>20230009</v>
      </c>
    </row>
    <row r="35" spans="1:4" ht="24" x14ac:dyDescent="0.25">
      <c r="A35" s="37" t="s">
        <v>332</v>
      </c>
      <c r="B35" s="44" t="s">
        <v>208</v>
      </c>
      <c r="C35" s="50" t="s">
        <v>105</v>
      </c>
      <c r="D35" s="39">
        <v>20230009</v>
      </c>
    </row>
    <row r="36" spans="1:4" x14ac:dyDescent="0.25">
      <c r="A36" s="37" t="s">
        <v>332</v>
      </c>
      <c r="B36" s="44" t="s">
        <v>669</v>
      </c>
      <c r="C36" s="50" t="s">
        <v>106</v>
      </c>
      <c r="D36" s="39">
        <v>20230009</v>
      </c>
    </row>
    <row r="37" spans="1:4" x14ac:dyDescent="0.25">
      <c r="A37" s="37" t="s">
        <v>332</v>
      </c>
      <c r="B37" s="44" t="s">
        <v>668</v>
      </c>
      <c r="C37" s="50" t="s">
        <v>107</v>
      </c>
      <c r="D37" s="39">
        <v>20230009</v>
      </c>
    </row>
    <row r="38" spans="1:4" ht="24" x14ac:dyDescent="0.25">
      <c r="A38" s="37" t="s">
        <v>332</v>
      </c>
      <c r="B38" s="44" t="s">
        <v>689</v>
      </c>
      <c r="C38" s="50" t="s">
        <v>690</v>
      </c>
      <c r="D38" s="39">
        <v>20230009</v>
      </c>
    </row>
    <row r="39" spans="1:4" x14ac:dyDescent="0.25">
      <c r="A39" s="37" t="s">
        <v>332</v>
      </c>
      <c r="B39" s="44" t="s">
        <v>609</v>
      </c>
      <c r="C39" s="50" t="s">
        <v>610</v>
      </c>
      <c r="D39" s="39">
        <v>10410023</v>
      </c>
    </row>
    <row r="40" spans="1:4" ht="24" x14ac:dyDescent="0.25">
      <c r="A40" s="37" t="s">
        <v>332</v>
      </c>
      <c r="B40" s="44" t="s">
        <v>667</v>
      </c>
      <c r="C40" s="50" t="s">
        <v>574</v>
      </c>
      <c r="D40" s="39">
        <v>20230009</v>
      </c>
    </row>
    <row r="41" spans="1:4" x14ac:dyDescent="0.25">
      <c r="A41" s="37" t="s">
        <v>332</v>
      </c>
      <c r="B41" s="44" t="s">
        <v>575</v>
      </c>
      <c r="C41" s="50" t="s">
        <v>576</v>
      </c>
      <c r="D41" s="39">
        <v>20230019</v>
      </c>
    </row>
    <row r="42" spans="1:4" ht="24" x14ac:dyDescent="0.25">
      <c r="A42" s="37" t="s">
        <v>332</v>
      </c>
      <c r="B42" s="44" t="s">
        <v>577</v>
      </c>
      <c r="C42" s="50" t="s">
        <v>578</v>
      </c>
      <c r="D42" s="39">
        <v>20230009</v>
      </c>
    </row>
    <row r="43" spans="1:4" x14ac:dyDescent="0.25">
      <c r="A43" s="37" t="s">
        <v>332</v>
      </c>
      <c r="B43" s="44" t="s">
        <v>691</v>
      </c>
      <c r="C43" s="50" t="s">
        <v>692</v>
      </c>
      <c r="D43" s="39">
        <v>20230009</v>
      </c>
    </row>
    <row r="44" spans="1:4" ht="24" x14ac:dyDescent="0.25">
      <c r="A44" s="37" t="s">
        <v>332</v>
      </c>
      <c r="B44" s="44" t="s">
        <v>726</v>
      </c>
      <c r="C44" s="50" t="s">
        <v>727</v>
      </c>
      <c r="D44" s="39">
        <v>20230019</v>
      </c>
    </row>
    <row r="45" spans="1:4" ht="24" x14ac:dyDescent="0.25">
      <c r="A45" s="37" t="s">
        <v>332</v>
      </c>
      <c r="B45" s="44" t="s">
        <v>728</v>
      </c>
      <c r="C45" s="50" t="s">
        <v>729</v>
      </c>
      <c r="D45" s="39">
        <v>20230019</v>
      </c>
    </row>
    <row r="46" spans="1:4" ht="24" x14ac:dyDescent="0.25">
      <c r="A46" s="37" t="s">
        <v>332</v>
      </c>
      <c r="B46" s="44" t="s">
        <v>730</v>
      </c>
      <c r="C46" s="50" t="s">
        <v>731</v>
      </c>
      <c r="D46" s="39">
        <v>20230019</v>
      </c>
    </row>
    <row r="47" spans="1:4" x14ac:dyDescent="0.25">
      <c r="A47" s="37" t="s">
        <v>332</v>
      </c>
      <c r="B47" s="44" t="s">
        <v>769</v>
      </c>
      <c r="C47" s="50" t="s">
        <v>693</v>
      </c>
      <c r="D47" s="39">
        <v>10410023</v>
      </c>
    </row>
    <row r="48" spans="1:4" ht="24" x14ac:dyDescent="0.25">
      <c r="A48" s="37" t="s">
        <v>332</v>
      </c>
      <c r="B48" s="44" t="s">
        <v>825</v>
      </c>
      <c r="C48" s="50" t="s">
        <v>827</v>
      </c>
      <c r="D48" s="39">
        <v>20230009</v>
      </c>
    </row>
    <row r="49" spans="1:4" ht="24" x14ac:dyDescent="0.25">
      <c r="A49" s="37" t="s">
        <v>332</v>
      </c>
      <c r="B49" s="44" t="s">
        <v>826</v>
      </c>
      <c r="C49" s="50" t="s">
        <v>828</v>
      </c>
      <c r="D49" s="39">
        <v>20230009</v>
      </c>
    </row>
    <row r="50" spans="1:4" ht="24" x14ac:dyDescent="0.25">
      <c r="A50" s="37" t="s">
        <v>348</v>
      </c>
      <c r="B50" s="44" t="s">
        <v>209</v>
      </c>
      <c r="C50" s="50" t="s">
        <v>108</v>
      </c>
      <c r="D50" s="39">
        <v>20230009</v>
      </c>
    </row>
    <row r="51" spans="1:4" ht="24" x14ac:dyDescent="0.25">
      <c r="A51" s="37" t="s">
        <v>348</v>
      </c>
      <c r="B51" s="44" t="s">
        <v>211</v>
      </c>
      <c r="C51" s="50" t="s">
        <v>109</v>
      </c>
      <c r="D51" s="39">
        <v>20230009</v>
      </c>
    </row>
    <row r="52" spans="1:4" ht="24" x14ac:dyDescent="0.25">
      <c r="A52" s="37" t="s">
        <v>348</v>
      </c>
      <c r="B52" s="44" t="s">
        <v>666</v>
      </c>
      <c r="C52" s="50" t="s">
        <v>110</v>
      </c>
      <c r="D52" s="39">
        <v>20230009</v>
      </c>
    </row>
    <row r="53" spans="1:4" x14ac:dyDescent="0.25">
      <c r="A53" s="37" t="s">
        <v>348</v>
      </c>
      <c r="B53" s="44" t="s">
        <v>770</v>
      </c>
      <c r="C53" s="50" t="s">
        <v>611</v>
      </c>
      <c r="D53" s="39">
        <v>10410023</v>
      </c>
    </row>
    <row r="54" spans="1:4" ht="24" x14ac:dyDescent="0.25">
      <c r="A54" s="37" t="s">
        <v>348</v>
      </c>
      <c r="B54" s="44" t="s">
        <v>212</v>
      </c>
      <c r="C54" s="50" t="s">
        <v>111</v>
      </c>
      <c r="D54" s="39">
        <v>10410023</v>
      </c>
    </row>
    <row r="55" spans="1:4" ht="24" x14ac:dyDescent="0.25">
      <c r="A55" s="37" t="s">
        <v>348</v>
      </c>
      <c r="B55" s="44" t="s">
        <v>210</v>
      </c>
      <c r="C55" s="50" t="s">
        <v>112</v>
      </c>
      <c r="D55" s="39">
        <v>10410023</v>
      </c>
    </row>
    <row r="56" spans="1:4" x14ac:dyDescent="0.25">
      <c r="A56" s="37" t="s">
        <v>348</v>
      </c>
      <c r="B56" s="44" t="s">
        <v>771</v>
      </c>
      <c r="C56" s="50" t="s">
        <v>580</v>
      </c>
      <c r="D56" s="39">
        <v>10410023</v>
      </c>
    </row>
    <row r="57" spans="1:4" ht="24" x14ac:dyDescent="0.25">
      <c r="A57" s="37" t="s">
        <v>348</v>
      </c>
      <c r="B57" s="44" t="s">
        <v>579</v>
      </c>
      <c r="C57" s="50" t="s">
        <v>612</v>
      </c>
      <c r="D57" s="39">
        <v>10410023</v>
      </c>
    </row>
    <row r="58" spans="1:4" x14ac:dyDescent="0.25">
      <c r="A58" s="37" t="s">
        <v>796</v>
      </c>
      <c r="B58" s="44" t="s">
        <v>799</v>
      </c>
      <c r="C58" s="50" t="s">
        <v>800</v>
      </c>
      <c r="D58" s="39">
        <v>10410023</v>
      </c>
    </row>
    <row r="59" spans="1:4" x14ac:dyDescent="0.25">
      <c r="A59" s="37" t="s">
        <v>333</v>
      </c>
      <c r="B59" s="44" t="s">
        <v>581</v>
      </c>
      <c r="C59" s="50" t="s">
        <v>582</v>
      </c>
      <c r="D59" s="39">
        <v>20240001</v>
      </c>
    </row>
    <row r="60" spans="1:4" x14ac:dyDescent="0.25">
      <c r="A60" s="37" t="s">
        <v>349</v>
      </c>
      <c r="B60" s="44" t="s">
        <v>665</v>
      </c>
      <c r="C60" s="50" t="s">
        <v>613</v>
      </c>
      <c r="D60" s="39">
        <v>20230009</v>
      </c>
    </row>
    <row r="61" spans="1:4" x14ac:dyDescent="0.25">
      <c r="A61" s="37" t="s">
        <v>349</v>
      </c>
      <c r="B61" s="44" t="s">
        <v>772</v>
      </c>
      <c r="C61" s="50" t="s">
        <v>614</v>
      </c>
      <c r="D61" s="39">
        <v>10410023</v>
      </c>
    </row>
    <row r="62" spans="1:4" ht="24" x14ac:dyDescent="0.25">
      <c r="A62" s="37" t="s">
        <v>349</v>
      </c>
      <c r="B62" s="44" t="s">
        <v>213</v>
      </c>
      <c r="C62" s="50" t="s">
        <v>113</v>
      </c>
      <c r="D62" s="39">
        <v>20230009</v>
      </c>
    </row>
    <row r="63" spans="1:4" ht="24" x14ac:dyDescent="0.25">
      <c r="A63" s="37" t="s">
        <v>349</v>
      </c>
      <c r="B63" s="44" t="s">
        <v>214</v>
      </c>
      <c r="C63" s="50" t="s">
        <v>114</v>
      </c>
      <c r="D63" s="39">
        <v>10410023</v>
      </c>
    </row>
    <row r="64" spans="1:4" ht="24" x14ac:dyDescent="0.25">
      <c r="A64" s="37" t="s">
        <v>349</v>
      </c>
      <c r="B64" s="44" t="s">
        <v>215</v>
      </c>
      <c r="C64" s="50" t="s">
        <v>115</v>
      </c>
      <c r="D64" s="39">
        <v>20230009</v>
      </c>
    </row>
    <row r="65" spans="1:4" x14ac:dyDescent="0.25">
      <c r="A65" s="37" t="s">
        <v>349</v>
      </c>
      <c r="B65" s="44" t="s">
        <v>216</v>
      </c>
      <c r="C65" s="50" t="s">
        <v>116</v>
      </c>
      <c r="D65" s="39">
        <v>20230009</v>
      </c>
    </row>
    <row r="66" spans="1:4" ht="24" x14ac:dyDescent="0.25">
      <c r="A66" s="40" t="s">
        <v>349</v>
      </c>
      <c r="B66" s="44" t="s">
        <v>583</v>
      </c>
      <c r="C66" s="50" t="s">
        <v>565</v>
      </c>
      <c r="D66" s="39">
        <v>20230009</v>
      </c>
    </row>
    <row r="67" spans="1:4" x14ac:dyDescent="0.25">
      <c r="A67" s="40" t="s">
        <v>349</v>
      </c>
      <c r="B67" s="44" t="s">
        <v>561</v>
      </c>
      <c r="C67" s="50" t="s">
        <v>566</v>
      </c>
      <c r="D67" s="39">
        <v>20230009</v>
      </c>
    </row>
    <row r="68" spans="1:4" ht="24" x14ac:dyDescent="0.25">
      <c r="A68" s="40" t="s">
        <v>349</v>
      </c>
      <c r="B68" s="44" t="s">
        <v>664</v>
      </c>
      <c r="C68" s="50" t="s">
        <v>584</v>
      </c>
      <c r="D68" s="39">
        <v>20230009</v>
      </c>
    </row>
    <row r="69" spans="1:4" x14ac:dyDescent="0.25">
      <c r="A69" s="37" t="s">
        <v>349</v>
      </c>
      <c r="B69" s="44" t="s">
        <v>663</v>
      </c>
      <c r="C69" s="50" t="s">
        <v>585</v>
      </c>
      <c r="D69" s="39">
        <v>20230009</v>
      </c>
    </row>
    <row r="70" spans="1:4" x14ac:dyDescent="0.25">
      <c r="A70" s="40" t="s">
        <v>349</v>
      </c>
      <c r="B70" s="44" t="s">
        <v>773</v>
      </c>
      <c r="C70" s="50" t="s">
        <v>615</v>
      </c>
      <c r="D70" s="39">
        <v>10410023</v>
      </c>
    </row>
    <row r="71" spans="1:4" ht="24" x14ac:dyDescent="0.25">
      <c r="A71" s="40" t="s">
        <v>350</v>
      </c>
      <c r="B71" s="44" t="s">
        <v>217</v>
      </c>
      <c r="C71" s="50" t="s">
        <v>117</v>
      </c>
      <c r="D71" s="39">
        <v>20230009</v>
      </c>
    </row>
    <row r="72" spans="1:4" x14ac:dyDescent="0.25">
      <c r="A72" s="40" t="s">
        <v>350</v>
      </c>
      <c r="B72" s="44" t="s">
        <v>774</v>
      </c>
      <c r="C72" s="50" t="s">
        <v>616</v>
      </c>
      <c r="D72" s="39">
        <v>10410023</v>
      </c>
    </row>
    <row r="73" spans="1:4" x14ac:dyDescent="0.25">
      <c r="A73" s="40" t="s">
        <v>350</v>
      </c>
      <c r="B73" s="44" t="s">
        <v>829</v>
      </c>
      <c r="C73" s="50" t="s">
        <v>830</v>
      </c>
      <c r="D73" s="39">
        <v>10410023</v>
      </c>
    </row>
    <row r="74" spans="1:4" x14ac:dyDescent="0.25">
      <c r="A74" s="40" t="s">
        <v>351</v>
      </c>
      <c r="B74" s="44" t="s">
        <v>288</v>
      </c>
      <c r="C74" s="50" t="s">
        <v>197</v>
      </c>
      <c r="D74" s="39">
        <v>20230017</v>
      </c>
    </row>
    <row r="75" spans="1:4" ht="24" x14ac:dyDescent="0.25">
      <c r="A75" s="40" t="s">
        <v>8</v>
      </c>
      <c r="B75" s="44" t="s">
        <v>732</v>
      </c>
      <c r="C75" s="50" t="s">
        <v>733</v>
      </c>
      <c r="D75" s="39">
        <v>20230009</v>
      </c>
    </row>
    <row r="76" spans="1:4" x14ac:dyDescent="0.25">
      <c r="A76" s="40" t="s">
        <v>355</v>
      </c>
      <c r="B76" s="44" t="s">
        <v>218</v>
      </c>
      <c r="C76" s="50" t="s">
        <v>118</v>
      </c>
      <c r="D76" s="39">
        <v>20230009</v>
      </c>
    </row>
    <row r="77" spans="1:4" ht="24" x14ac:dyDescent="0.25">
      <c r="A77" s="40" t="s">
        <v>355</v>
      </c>
      <c r="B77" s="44" t="s">
        <v>662</v>
      </c>
      <c r="C77" s="50" t="s">
        <v>119</v>
      </c>
      <c r="D77" s="39">
        <v>20230009</v>
      </c>
    </row>
    <row r="78" spans="1:4" x14ac:dyDescent="0.25">
      <c r="A78" s="40" t="s">
        <v>355</v>
      </c>
      <c r="B78" s="44" t="s">
        <v>775</v>
      </c>
      <c r="C78" s="50" t="s">
        <v>617</v>
      </c>
      <c r="D78" s="39">
        <v>10410023</v>
      </c>
    </row>
    <row r="79" spans="1:4" x14ac:dyDescent="0.25">
      <c r="A79" s="40" t="s">
        <v>355</v>
      </c>
      <c r="B79" s="44" t="s">
        <v>787</v>
      </c>
      <c r="C79" s="50" t="s">
        <v>734</v>
      </c>
      <c r="D79" s="39">
        <v>10410023</v>
      </c>
    </row>
    <row r="80" spans="1:4" x14ac:dyDescent="0.25">
      <c r="A80" s="40" t="s">
        <v>355</v>
      </c>
      <c r="B80" s="44" t="s">
        <v>735</v>
      </c>
      <c r="C80" s="50" t="s">
        <v>736</v>
      </c>
      <c r="D80" s="39">
        <v>20230009</v>
      </c>
    </row>
    <row r="81" spans="1:4" x14ac:dyDescent="0.25">
      <c r="A81" s="40" t="s">
        <v>355</v>
      </c>
      <c r="B81" s="44" t="s">
        <v>788</v>
      </c>
      <c r="C81" s="50" t="s">
        <v>737</v>
      </c>
      <c r="D81" s="39">
        <v>10410023</v>
      </c>
    </row>
    <row r="82" spans="1:4" x14ac:dyDescent="0.25">
      <c r="A82" s="40" t="s">
        <v>357</v>
      </c>
      <c r="B82" s="44" t="s">
        <v>776</v>
      </c>
      <c r="C82" s="50" t="s">
        <v>618</v>
      </c>
      <c r="D82" s="39">
        <v>10410023</v>
      </c>
    </row>
    <row r="83" spans="1:4" x14ac:dyDescent="0.25">
      <c r="A83" s="40" t="s">
        <v>357</v>
      </c>
      <c r="B83" s="44" t="s">
        <v>219</v>
      </c>
      <c r="C83" s="50" t="s">
        <v>120</v>
      </c>
      <c r="D83" s="39">
        <v>10410023</v>
      </c>
    </row>
    <row r="84" spans="1:4" x14ac:dyDescent="0.25">
      <c r="A84" s="40" t="s">
        <v>357</v>
      </c>
      <c r="B84" s="44" t="s">
        <v>220</v>
      </c>
      <c r="C84" s="50" t="s">
        <v>121</v>
      </c>
      <c r="D84" s="39">
        <v>20230009</v>
      </c>
    </row>
    <row r="85" spans="1:4" ht="24" x14ac:dyDescent="0.25">
      <c r="A85" s="40" t="s">
        <v>335</v>
      </c>
      <c r="B85" s="44" t="s">
        <v>221</v>
      </c>
      <c r="C85" s="50" t="s">
        <v>122</v>
      </c>
      <c r="D85" s="39">
        <v>20230009</v>
      </c>
    </row>
    <row r="86" spans="1:4" ht="24" x14ac:dyDescent="0.25">
      <c r="A86" s="40" t="s">
        <v>335</v>
      </c>
      <c r="B86" s="44" t="s">
        <v>222</v>
      </c>
      <c r="C86" s="50" t="s">
        <v>123</v>
      </c>
      <c r="D86" s="39">
        <v>20230009</v>
      </c>
    </row>
    <row r="87" spans="1:4" x14ac:dyDescent="0.25">
      <c r="A87" s="40" t="s">
        <v>9</v>
      </c>
      <c r="B87" s="44" t="s">
        <v>223</v>
      </c>
      <c r="C87" s="50" t="s">
        <v>124</v>
      </c>
      <c r="D87" s="39">
        <v>20230009</v>
      </c>
    </row>
    <row r="88" spans="1:4" ht="24" x14ac:dyDescent="0.25">
      <c r="A88" s="40" t="s">
        <v>9</v>
      </c>
      <c r="B88" s="44" t="s">
        <v>619</v>
      </c>
      <c r="C88" s="50" t="s">
        <v>620</v>
      </c>
      <c r="D88" s="39">
        <v>20230009</v>
      </c>
    </row>
    <row r="89" spans="1:4" x14ac:dyDescent="0.25">
      <c r="A89" s="40" t="s">
        <v>9</v>
      </c>
      <c r="B89" s="44" t="s">
        <v>224</v>
      </c>
      <c r="C89" s="50" t="s">
        <v>125</v>
      </c>
      <c r="D89" s="39">
        <v>20230009</v>
      </c>
    </row>
    <row r="90" spans="1:4" ht="24" x14ac:dyDescent="0.25">
      <c r="A90" s="40" t="s">
        <v>9</v>
      </c>
      <c r="B90" s="44" t="s">
        <v>738</v>
      </c>
      <c r="C90" s="50" t="s">
        <v>739</v>
      </c>
      <c r="D90" s="39">
        <v>20230009</v>
      </c>
    </row>
    <row r="91" spans="1:4" ht="36" x14ac:dyDescent="0.25">
      <c r="A91" s="40" t="s">
        <v>336</v>
      </c>
      <c r="B91" s="44" t="s">
        <v>717</v>
      </c>
      <c r="C91" s="50" t="s">
        <v>718</v>
      </c>
      <c r="D91" s="39">
        <v>202300019</v>
      </c>
    </row>
    <row r="92" spans="1:4" ht="24" x14ac:dyDescent="0.25">
      <c r="A92" s="40" t="s">
        <v>359</v>
      </c>
      <c r="B92" s="44" t="s">
        <v>621</v>
      </c>
      <c r="C92" s="50" t="s">
        <v>622</v>
      </c>
      <c r="D92" s="39">
        <v>20230009</v>
      </c>
    </row>
    <row r="93" spans="1:4" ht="24" x14ac:dyDescent="0.25">
      <c r="A93" s="40" t="s">
        <v>359</v>
      </c>
      <c r="B93" s="44" t="s">
        <v>225</v>
      </c>
      <c r="C93" s="50" t="s">
        <v>126</v>
      </c>
      <c r="D93" s="39">
        <v>20230009</v>
      </c>
    </row>
    <row r="94" spans="1:4" ht="24" x14ac:dyDescent="0.25">
      <c r="A94" s="40" t="s">
        <v>359</v>
      </c>
      <c r="B94" s="44" t="s">
        <v>226</v>
      </c>
      <c r="C94" s="50" t="s">
        <v>127</v>
      </c>
      <c r="D94" s="39">
        <v>20230009</v>
      </c>
    </row>
    <row r="95" spans="1:4" ht="24" x14ac:dyDescent="0.25">
      <c r="A95" s="40" t="s">
        <v>359</v>
      </c>
      <c r="B95" s="44" t="s">
        <v>694</v>
      </c>
      <c r="C95" s="50" t="s">
        <v>695</v>
      </c>
      <c r="D95" s="39">
        <v>20230019</v>
      </c>
    </row>
    <row r="96" spans="1:4" ht="24" x14ac:dyDescent="0.25">
      <c r="A96" s="40" t="s">
        <v>359</v>
      </c>
      <c r="B96" s="44" t="s">
        <v>817</v>
      </c>
      <c r="C96" s="50" t="s">
        <v>818</v>
      </c>
      <c r="D96" s="39">
        <v>20230009</v>
      </c>
    </row>
    <row r="97" spans="1:4" ht="24" x14ac:dyDescent="0.25">
      <c r="A97" s="40" t="s">
        <v>359</v>
      </c>
      <c r="B97" s="44" t="s">
        <v>819</v>
      </c>
      <c r="C97" s="50" t="s">
        <v>820</v>
      </c>
      <c r="D97" s="39">
        <v>20230009</v>
      </c>
    </row>
    <row r="98" spans="1:4" ht="24" x14ac:dyDescent="0.25">
      <c r="A98" s="40" t="s">
        <v>375</v>
      </c>
      <c r="B98" s="44" t="s">
        <v>696</v>
      </c>
      <c r="C98" s="50" t="s">
        <v>326</v>
      </c>
      <c r="D98" s="39">
        <v>20230009</v>
      </c>
    </row>
    <row r="99" spans="1:4" x14ac:dyDescent="0.25">
      <c r="A99" s="40" t="s">
        <v>375</v>
      </c>
      <c r="B99" s="44" t="s">
        <v>227</v>
      </c>
      <c r="C99" s="50" t="s">
        <v>129</v>
      </c>
      <c r="D99" s="39">
        <v>20230009</v>
      </c>
    </row>
    <row r="100" spans="1:4" x14ac:dyDescent="0.25">
      <c r="A100" s="40" t="s">
        <v>360</v>
      </c>
      <c r="B100" s="44" t="s">
        <v>586</v>
      </c>
      <c r="C100" s="50" t="s">
        <v>128</v>
      </c>
      <c r="D100" s="39">
        <v>20230009</v>
      </c>
    </row>
    <row r="101" spans="1:4" x14ac:dyDescent="0.25">
      <c r="A101" s="40" t="s">
        <v>337</v>
      </c>
      <c r="B101" s="44" t="s">
        <v>777</v>
      </c>
      <c r="C101" s="50" t="s">
        <v>623</v>
      </c>
      <c r="D101" s="39">
        <v>10410023</v>
      </c>
    </row>
    <row r="102" spans="1:4" x14ac:dyDescent="0.25">
      <c r="A102" s="40" t="s">
        <v>337</v>
      </c>
      <c r="B102" s="44" t="s">
        <v>778</v>
      </c>
      <c r="C102" s="50" t="s">
        <v>624</v>
      </c>
      <c r="D102" s="39">
        <v>10410023</v>
      </c>
    </row>
    <row r="103" spans="1:4" x14ac:dyDescent="0.25">
      <c r="A103" s="40" t="s">
        <v>338</v>
      </c>
      <c r="B103" s="44" t="s">
        <v>228</v>
      </c>
      <c r="C103" s="50" t="s">
        <v>130</v>
      </c>
      <c r="D103" s="39">
        <v>20230009</v>
      </c>
    </row>
    <row r="104" spans="1:4" x14ac:dyDescent="0.25">
      <c r="A104" s="40" t="s">
        <v>338</v>
      </c>
      <c r="B104" s="44" t="s">
        <v>779</v>
      </c>
      <c r="C104" s="50" t="s">
        <v>625</v>
      </c>
      <c r="D104" s="39">
        <v>10410023</v>
      </c>
    </row>
    <row r="105" spans="1:4" ht="24" x14ac:dyDescent="0.25">
      <c r="A105" s="40" t="s">
        <v>573</v>
      </c>
      <c r="B105" s="44" t="s">
        <v>697</v>
      </c>
      <c r="C105" s="50" t="s">
        <v>587</v>
      </c>
      <c r="D105" s="39">
        <v>20230009</v>
      </c>
    </row>
    <row r="106" spans="1:4" ht="24" x14ac:dyDescent="0.25">
      <c r="A106" s="40" t="s">
        <v>361</v>
      </c>
      <c r="B106" s="44" t="s">
        <v>229</v>
      </c>
      <c r="C106" s="50" t="s">
        <v>131</v>
      </c>
      <c r="D106" s="39">
        <v>20230009</v>
      </c>
    </row>
    <row r="107" spans="1:4" x14ac:dyDescent="0.25">
      <c r="A107" s="40" t="s">
        <v>362</v>
      </c>
      <c r="B107" s="44" t="s">
        <v>740</v>
      </c>
      <c r="C107" s="50" t="s">
        <v>741</v>
      </c>
      <c r="D107" s="39">
        <v>20230009</v>
      </c>
    </row>
    <row r="108" spans="1:4" x14ac:dyDescent="0.25">
      <c r="A108" s="40" t="s">
        <v>363</v>
      </c>
      <c r="B108" s="44" t="s">
        <v>230</v>
      </c>
      <c r="C108" s="50" t="s">
        <v>132</v>
      </c>
      <c r="D108" s="39">
        <v>20230009</v>
      </c>
    </row>
    <row r="109" spans="1:4" ht="24" x14ac:dyDescent="0.25">
      <c r="A109" s="40" t="s">
        <v>363</v>
      </c>
      <c r="B109" s="44" t="s">
        <v>231</v>
      </c>
      <c r="C109" s="50" t="s">
        <v>133</v>
      </c>
      <c r="D109" s="39">
        <v>20230009</v>
      </c>
    </row>
    <row r="110" spans="1:4" x14ac:dyDescent="0.25">
      <c r="A110" s="40" t="s">
        <v>363</v>
      </c>
      <c r="B110" s="44" t="s">
        <v>232</v>
      </c>
      <c r="C110" s="50" t="s">
        <v>134</v>
      </c>
      <c r="D110" s="39">
        <v>20230009</v>
      </c>
    </row>
    <row r="111" spans="1:4" x14ac:dyDescent="0.25">
      <c r="A111" s="40" t="s">
        <v>363</v>
      </c>
      <c r="B111" s="44" t="s">
        <v>233</v>
      </c>
      <c r="C111" s="50" t="s">
        <v>135</v>
      </c>
      <c r="D111" s="39">
        <v>20230009</v>
      </c>
    </row>
    <row r="112" spans="1:4" ht="24" x14ac:dyDescent="0.25">
      <c r="A112" s="40" t="s">
        <v>363</v>
      </c>
      <c r="B112" s="44" t="s">
        <v>234</v>
      </c>
      <c r="C112" s="50" t="s">
        <v>136</v>
      </c>
      <c r="D112" s="39">
        <v>20230009</v>
      </c>
    </row>
    <row r="113" spans="1:4" ht="24" x14ac:dyDescent="0.25">
      <c r="A113" s="40" t="s">
        <v>363</v>
      </c>
      <c r="B113" s="44" t="s">
        <v>831</v>
      </c>
      <c r="C113" s="50" t="s">
        <v>832</v>
      </c>
      <c r="D113" s="39">
        <v>20230019</v>
      </c>
    </row>
    <row r="114" spans="1:4" ht="24" x14ac:dyDescent="0.25">
      <c r="A114" s="40" t="s">
        <v>11</v>
      </c>
      <c r="B114" s="44" t="s">
        <v>626</v>
      </c>
      <c r="C114" s="50" t="s">
        <v>627</v>
      </c>
      <c r="D114" s="39">
        <v>20230009</v>
      </c>
    </row>
    <row r="115" spans="1:4" ht="24" x14ac:dyDescent="0.25">
      <c r="A115" s="40" t="s">
        <v>11</v>
      </c>
      <c r="B115" s="44" t="s">
        <v>794</v>
      </c>
      <c r="C115" s="50" t="s">
        <v>140</v>
      </c>
      <c r="D115" s="39">
        <v>20230009</v>
      </c>
    </row>
    <row r="116" spans="1:4" ht="24" x14ac:dyDescent="0.25">
      <c r="A116" s="40" t="s">
        <v>11</v>
      </c>
      <c r="B116" s="44" t="s">
        <v>235</v>
      </c>
      <c r="C116" s="50" t="s">
        <v>795</v>
      </c>
      <c r="D116" s="39">
        <v>20230009</v>
      </c>
    </row>
    <row r="117" spans="1:4" ht="24" x14ac:dyDescent="0.25">
      <c r="A117" s="40" t="s">
        <v>11</v>
      </c>
      <c r="B117" s="44" t="s">
        <v>236</v>
      </c>
      <c r="C117" s="50" t="s">
        <v>137</v>
      </c>
      <c r="D117" s="39">
        <v>20230009</v>
      </c>
    </row>
    <row r="118" spans="1:4" x14ac:dyDescent="0.25">
      <c r="A118" s="40" t="s">
        <v>11</v>
      </c>
      <c r="B118" s="44" t="s">
        <v>237</v>
      </c>
      <c r="C118" s="50" t="s">
        <v>138</v>
      </c>
      <c r="D118" s="39">
        <v>20230009</v>
      </c>
    </row>
    <row r="119" spans="1:4" x14ac:dyDescent="0.25">
      <c r="A119" s="40" t="s">
        <v>11</v>
      </c>
      <c r="B119" s="44" t="s">
        <v>789</v>
      </c>
      <c r="C119" s="50" t="s">
        <v>628</v>
      </c>
      <c r="D119" s="39">
        <v>10410023</v>
      </c>
    </row>
    <row r="120" spans="1:4" x14ac:dyDescent="0.25">
      <c r="A120" s="40" t="s">
        <v>11</v>
      </c>
      <c r="B120" s="44" t="s">
        <v>238</v>
      </c>
      <c r="C120" s="50" t="s">
        <v>139</v>
      </c>
      <c r="D120" s="39">
        <v>20230009</v>
      </c>
    </row>
    <row r="121" spans="1:4" x14ac:dyDescent="0.25">
      <c r="A121" s="40" t="s">
        <v>11</v>
      </c>
      <c r="B121" s="44" t="s">
        <v>239</v>
      </c>
      <c r="C121" s="50" t="s">
        <v>141</v>
      </c>
      <c r="D121" s="39">
        <v>20230009</v>
      </c>
    </row>
    <row r="122" spans="1:4" ht="24" x14ac:dyDescent="0.25">
      <c r="A122" s="40" t="s">
        <v>11</v>
      </c>
      <c r="B122" s="44" t="s">
        <v>240</v>
      </c>
      <c r="C122" s="50" t="s">
        <v>142</v>
      </c>
      <c r="D122" s="39">
        <v>20230009</v>
      </c>
    </row>
    <row r="123" spans="1:4" ht="24" x14ac:dyDescent="0.25">
      <c r="A123" s="40" t="s">
        <v>11</v>
      </c>
      <c r="B123" s="44" t="s">
        <v>562</v>
      </c>
      <c r="C123" s="50" t="s">
        <v>567</v>
      </c>
      <c r="D123" s="39">
        <v>20230009</v>
      </c>
    </row>
    <row r="124" spans="1:4" x14ac:dyDescent="0.25">
      <c r="A124" s="40" t="s">
        <v>11</v>
      </c>
      <c r="B124" s="44" t="s">
        <v>563</v>
      </c>
      <c r="C124" s="50" t="s">
        <v>568</v>
      </c>
      <c r="D124" s="39">
        <v>20230009</v>
      </c>
    </row>
    <row r="125" spans="1:4" x14ac:dyDescent="0.25">
      <c r="A125" s="40" t="s">
        <v>11</v>
      </c>
      <c r="B125" s="44" t="s">
        <v>629</v>
      </c>
      <c r="C125" s="50" t="s">
        <v>630</v>
      </c>
      <c r="D125" s="39">
        <v>10410023</v>
      </c>
    </row>
    <row r="126" spans="1:4" x14ac:dyDescent="0.25">
      <c r="A126" s="40" t="s">
        <v>11</v>
      </c>
      <c r="B126" s="44" t="s">
        <v>780</v>
      </c>
      <c r="C126" s="50" t="s">
        <v>698</v>
      </c>
      <c r="D126" s="39">
        <v>10410023</v>
      </c>
    </row>
    <row r="127" spans="1:4" x14ac:dyDescent="0.25">
      <c r="A127" s="37" t="s">
        <v>11</v>
      </c>
      <c r="B127" s="44" t="s">
        <v>834</v>
      </c>
      <c r="C127" s="50" t="s">
        <v>742</v>
      </c>
      <c r="D127" s="39">
        <v>20230009</v>
      </c>
    </row>
    <row r="128" spans="1:4" x14ac:dyDescent="0.25">
      <c r="A128" s="37" t="s">
        <v>11</v>
      </c>
      <c r="B128" s="44" t="s">
        <v>835</v>
      </c>
      <c r="C128" s="50" t="s">
        <v>833</v>
      </c>
      <c r="D128" s="39">
        <v>20230009</v>
      </c>
    </row>
    <row r="129" spans="1:4" x14ac:dyDescent="0.25">
      <c r="A129" s="40" t="s">
        <v>12</v>
      </c>
      <c r="B129" s="44" t="s">
        <v>790</v>
      </c>
      <c r="C129" s="50" t="s">
        <v>631</v>
      </c>
      <c r="D129" s="39">
        <v>10410023</v>
      </c>
    </row>
    <row r="130" spans="1:4" x14ac:dyDescent="0.25">
      <c r="A130" s="40" t="s">
        <v>12</v>
      </c>
      <c r="B130" s="44" t="s">
        <v>241</v>
      </c>
      <c r="C130" s="50" t="s">
        <v>143</v>
      </c>
      <c r="D130" s="39">
        <v>20230009</v>
      </c>
    </row>
    <row r="131" spans="1:4" ht="24" x14ac:dyDescent="0.25">
      <c r="A131" s="40" t="s">
        <v>12</v>
      </c>
      <c r="B131" s="44" t="s">
        <v>699</v>
      </c>
      <c r="C131" s="50" t="s">
        <v>700</v>
      </c>
      <c r="D131" s="39">
        <v>20230009</v>
      </c>
    </row>
    <row r="132" spans="1:4" x14ac:dyDescent="0.25">
      <c r="A132" s="40" t="s">
        <v>12</v>
      </c>
      <c r="B132" s="44" t="s">
        <v>810</v>
      </c>
      <c r="C132" s="50" t="s">
        <v>811</v>
      </c>
      <c r="D132" s="39">
        <v>20230019</v>
      </c>
    </row>
    <row r="133" spans="1:4" x14ac:dyDescent="0.25">
      <c r="A133" s="37" t="s">
        <v>719</v>
      </c>
      <c r="B133" s="44" t="s">
        <v>743</v>
      </c>
      <c r="C133" s="50" t="s">
        <v>744</v>
      </c>
      <c r="D133" s="39">
        <v>20230009</v>
      </c>
    </row>
    <row r="134" spans="1:4" ht="24" x14ac:dyDescent="0.25">
      <c r="A134" s="37" t="s">
        <v>719</v>
      </c>
      <c r="B134" s="44" t="s">
        <v>837</v>
      </c>
      <c r="C134" s="50" t="s">
        <v>836</v>
      </c>
      <c r="D134" s="39">
        <v>20230009</v>
      </c>
    </row>
    <row r="135" spans="1:4" x14ac:dyDescent="0.25">
      <c r="A135" s="37" t="s">
        <v>366</v>
      </c>
      <c r="B135" s="44" t="s">
        <v>242</v>
      </c>
      <c r="C135" s="50" t="s">
        <v>144</v>
      </c>
      <c r="D135" s="39">
        <v>20230014</v>
      </c>
    </row>
    <row r="136" spans="1:4" x14ac:dyDescent="0.25">
      <c r="A136" s="37" t="s">
        <v>366</v>
      </c>
      <c r="B136" s="44" t="s">
        <v>244</v>
      </c>
      <c r="C136" s="50" t="s">
        <v>145</v>
      </c>
      <c r="D136" s="39">
        <v>20230014</v>
      </c>
    </row>
    <row r="137" spans="1:4" x14ac:dyDescent="0.25">
      <c r="A137" s="37" t="s">
        <v>366</v>
      </c>
      <c r="B137" s="44" t="s">
        <v>245</v>
      </c>
      <c r="C137" s="50" t="s">
        <v>146</v>
      </c>
      <c r="D137" s="39">
        <v>20230014</v>
      </c>
    </row>
    <row r="138" spans="1:4" x14ac:dyDescent="0.25">
      <c r="A138" s="37" t="s">
        <v>366</v>
      </c>
      <c r="B138" s="44" t="s">
        <v>243</v>
      </c>
      <c r="C138" s="50" t="s">
        <v>147</v>
      </c>
      <c r="D138" s="39">
        <v>20230014</v>
      </c>
    </row>
    <row r="139" spans="1:4" x14ac:dyDescent="0.25">
      <c r="A139" s="40" t="s">
        <v>366</v>
      </c>
      <c r="B139" s="44" t="s">
        <v>246</v>
      </c>
      <c r="C139" s="50" t="s">
        <v>148</v>
      </c>
      <c r="D139" s="39">
        <v>20230009</v>
      </c>
    </row>
    <row r="140" spans="1:4" ht="24" x14ac:dyDescent="0.25">
      <c r="A140" s="40" t="s">
        <v>366</v>
      </c>
      <c r="B140" s="44" t="s">
        <v>247</v>
      </c>
      <c r="C140" s="50" t="s">
        <v>149</v>
      </c>
      <c r="D140" s="39">
        <v>20230009</v>
      </c>
    </row>
    <row r="141" spans="1:4" x14ac:dyDescent="0.25">
      <c r="A141" s="40" t="s">
        <v>368</v>
      </c>
      <c r="B141" s="44" t="s">
        <v>781</v>
      </c>
      <c r="C141" s="50" t="s">
        <v>632</v>
      </c>
      <c r="D141" s="39">
        <v>10410023</v>
      </c>
    </row>
    <row r="142" spans="1:4" ht="24" x14ac:dyDescent="0.25">
      <c r="A142" s="40" t="s">
        <v>368</v>
      </c>
      <c r="B142" s="44" t="s">
        <v>248</v>
      </c>
      <c r="C142" s="50" t="s">
        <v>150</v>
      </c>
      <c r="D142" s="39">
        <v>20230009</v>
      </c>
    </row>
    <row r="143" spans="1:4" x14ac:dyDescent="0.25">
      <c r="A143" s="40" t="s">
        <v>368</v>
      </c>
      <c r="B143" s="44" t="s">
        <v>745</v>
      </c>
      <c r="C143" s="50" t="s">
        <v>746</v>
      </c>
      <c r="D143" s="39">
        <v>20230009</v>
      </c>
    </row>
    <row r="144" spans="1:4" x14ac:dyDescent="0.25">
      <c r="A144" s="40" t="s">
        <v>368</v>
      </c>
      <c r="B144" s="44" t="s">
        <v>838</v>
      </c>
      <c r="C144" s="50" t="s">
        <v>839</v>
      </c>
      <c r="D144" s="39">
        <v>10410023</v>
      </c>
    </row>
    <row r="145" spans="1:4" x14ac:dyDescent="0.25">
      <c r="A145" s="40" t="s">
        <v>13</v>
      </c>
      <c r="B145" s="44" t="s">
        <v>249</v>
      </c>
      <c r="C145" s="50" t="s">
        <v>151</v>
      </c>
      <c r="D145" s="39">
        <v>20230009</v>
      </c>
    </row>
    <row r="146" spans="1:4" x14ac:dyDescent="0.25">
      <c r="A146" s="40" t="s">
        <v>13</v>
      </c>
      <c r="B146" s="44" t="s">
        <v>250</v>
      </c>
      <c r="C146" s="50" t="s">
        <v>152</v>
      </c>
      <c r="D146" s="39">
        <v>20230009</v>
      </c>
    </row>
    <row r="147" spans="1:4" x14ac:dyDescent="0.25">
      <c r="A147" s="40" t="s">
        <v>13</v>
      </c>
      <c r="B147" s="44" t="s">
        <v>661</v>
      </c>
      <c r="C147" s="50" t="s">
        <v>153</v>
      </c>
      <c r="D147" s="39">
        <v>10410023</v>
      </c>
    </row>
    <row r="148" spans="1:4" x14ac:dyDescent="0.25">
      <c r="A148" s="40" t="s">
        <v>13</v>
      </c>
      <c r="B148" s="44" t="s">
        <v>251</v>
      </c>
      <c r="C148" s="50" t="s">
        <v>154</v>
      </c>
      <c r="D148" s="39">
        <v>20230009</v>
      </c>
    </row>
    <row r="149" spans="1:4" x14ac:dyDescent="0.25">
      <c r="A149" s="40" t="s">
        <v>13</v>
      </c>
      <c r="B149" s="44" t="s">
        <v>252</v>
      </c>
      <c r="C149" s="50" t="s">
        <v>155</v>
      </c>
      <c r="D149" s="39">
        <v>20230009</v>
      </c>
    </row>
    <row r="150" spans="1:4" x14ac:dyDescent="0.25">
      <c r="A150" s="40" t="s">
        <v>13</v>
      </c>
      <c r="B150" s="44" t="s">
        <v>253</v>
      </c>
      <c r="C150" s="50" t="s">
        <v>156</v>
      </c>
      <c r="D150" s="39">
        <v>20230009</v>
      </c>
    </row>
    <row r="151" spans="1:4" ht="24" x14ac:dyDescent="0.25">
      <c r="A151" s="40" t="s">
        <v>13</v>
      </c>
      <c r="B151" s="44" t="s">
        <v>254</v>
      </c>
      <c r="C151" s="50" t="s">
        <v>157</v>
      </c>
      <c r="D151" s="39">
        <v>20230009</v>
      </c>
    </row>
    <row r="152" spans="1:4" x14ac:dyDescent="0.25">
      <c r="A152" s="40" t="s">
        <v>13</v>
      </c>
      <c r="B152" s="44" t="s">
        <v>255</v>
      </c>
      <c r="C152" s="50" t="s">
        <v>158</v>
      </c>
      <c r="D152" s="39">
        <v>20230009</v>
      </c>
    </row>
    <row r="153" spans="1:4" x14ac:dyDescent="0.25">
      <c r="A153" s="46" t="s">
        <v>13</v>
      </c>
      <c r="B153" s="47" t="s">
        <v>791</v>
      </c>
      <c r="C153" s="51" t="s">
        <v>633</v>
      </c>
      <c r="D153" s="48">
        <v>10410023</v>
      </c>
    </row>
    <row r="154" spans="1:4" x14ac:dyDescent="0.25">
      <c r="A154" s="40" t="s">
        <v>13</v>
      </c>
      <c r="B154" s="44" t="s">
        <v>256</v>
      </c>
      <c r="C154" s="50" t="s">
        <v>159</v>
      </c>
      <c r="D154" s="39">
        <v>20230009</v>
      </c>
    </row>
    <row r="155" spans="1:4" ht="24" x14ac:dyDescent="0.25">
      <c r="A155" s="40" t="s">
        <v>13</v>
      </c>
      <c r="B155" s="44" t="s">
        <v>257</v>
      </c>
      <c r="C155" s="50" t="s">
        <v>160</v>
      </c>
      <c r="D155" s="39">
        <v>20230009</v>
      </c>
    </row>
    <row r="156" spans="1:4" x14ac:dyDescent="0.25">
      <c r="A156" s="40" t="s">
        <v>13</v>
      </c>
      <c r="B156" s="44" t="s">
        <v>588</v>
      </c>
      <c r="C156" s="50" t="s">
        <v>161</v>
      </c>
      <c r="D156" s="39">
        <v>20230009</v>
      </c>
    </row>
    <row r="157" spans="1:4" ht="24" x14ac:dyDescent="0.25">
      <c r="A157" s="40" t="s">
        <v>13</v>
      </c>
      <c r="B157" s="44" t="s">
        <v>701</v>
      </c>
      <c r="C157" s="50" t="s">
        <v>162</v>
      </c>
      <c r="D157" s="39">
        <v>20230009</v>
      </c>
    </row>
    <row r="158" spans="1:4" ht="24" x14ac:dyDescent="0.25">
      <c r="A158" s="40" t="s">
        <v>13</v>
      </c>
      <c r="B158" s="44" t="s">
        <v>747</v>
      </c>
      <c r="C158" s="50" t="s">
        <v>748</v>
      </c>
      <c r="D158" s="39">
        <v>20230009</v>
      </c>
    </row>
    <row r="159" spans="1:4" x14ac:dyDescent="0.25">
      <c r="A159" s="40" t="s">
        <v>13</v>
      </c>
      <c r="B159" s="44" t="s">
        <v>749</v>
      </c>
      <c r="C159" s="50" t="s">
        <v>750</v>
      </c>
      <c r="D159" s="39">
        <v>10410023</v>
      </c>
    </row>
    <row r="160" spans="1:4" x14ac:dyDescent="0.25">
      <c r="A160" s="40" t="s">
        <v>340</v>
      </c>
      <c r="B160" s="44" t="s">
        <v>782</v>
      </c>
      <c r="C160" s="50" t="s">
        <v>634</v>
      </c>
      <c r="D160" s="39">
        <v>10410023</v>
      </c>
    </row>
    <row r="161" spans="1:4" x14ac:dyDescent="0.25">
      <c r="A161" s="40" t="s">
        <v>340</v>
      </c>
      <c r="B161" s="44" t="s">
        <v>258</v>
      </c>
      <c r="C161" s="50" t="s">
        <v>163</v>
      </c>
      <c r="D161" s="39">
        <v>20230009</v>
      </c>
    </row>
    <row r="162" spans="1:4" ht="24" x14ac:dyDescent="0.25">
      <c r="A162" s="40" t="s">
        <v>340</v>
      </c>
      <c r="B162" s="44" t="s">
        <v>660</v>
      </c>
      <c r="C162" s="50" t="s">
        <v>164</v>
      </c>
      <c r="D162" s="39">
        <v>20230009</v>
      </c>
    </row>
    <row r="163" spans="1:4" x14ac:dyDescent="0.25">
      <c r="A163" s="40" t="s">
        <v>340</v>
      </c>
      <c r="B163" s="44" t="s">
        <v>659</v>
      </c>
      <c r="C163" s="50" t="s">
        <v>569</v>
      </c>
      <c r="D163" s="39">
        <v>20230009</v>
      </c>
    </row>
    <row r="164" spans="1:4" x14ac:dyDescent="0.25">
      <c r="A164" s="40" t="s">
        <v>340</v>
      </c>
      <c r="B164" s="44" t="s">
        <v>783</v>
      </c>
      <c r="C164" s="50" t="s">
        <v>635</v>
      </c>
      <c r="D164" s="39">
        <v>10410023</v>
      </c>
    </row>
    <row r="165" spans="1:4" ht="24" x14ac:dyDescent="0.25">
      <c r="A165" s="40" t="s">
        <v>341</v>
      </c>
      <c r="B165" s="44" t="s">
        <v>702</v>
      </c>
      <c r="C165" s="50" t="s">
        <v>868</v>
      </c>
      <c r="D165" s="39">
        <v>20230009</v>
      </c>
    </row>
    <row r="166" spans="1:4" x14ac:dyDescent="0.25">
      <c r="A166" s="40" t="s">
        <v>341</v>
      </c>
      <c r="B166" s="44" t="s">
        <v>259</v>
      </c>
      <c r="C166" s="50" t="s">
        <v>867</v>
      </c>
      <c r="D166" s="39">
        <v>20230009</v>
      </c>
    </row>
    <row r="167" spans="1:4" ht="24" x14ac:dyDescent="0.25">
      <c r="A167" s="40" t="s">
        <v>341</v>
      </c>
      <c r="B167" s="44" t="s">
        <v>636</v>
      </c>
      <c r="C167" s="50" t="s">
        <v>866</v>
      </c>
      <c r="D167" s="39">
        <v>20230009</v>
      </c>
    </row>
    <row r="168" spans="1:4" x14ac:dyDescent="0.25">
      <c r="A168" s="40" t="s">
        <v>341</v>
      </c>
      <c r="B168" s="44" t="s">
        <v>260</v>
      </c>
      <c r="C168" s="50" t="s">
        <v>865</v>
      </c>
      <c r="D168" s="39">
        <v>20230009</v>
      </c>
    </row>
    <row r="169" spans="1:4" ht="24" x14ac:dyDescent="0.25">
      <c r="A169" s="40" t="s">
        <v>341</v>
      </c>
      <c r="B169" s="44" t="s">
        <v>261</v>
      </c>
      <c r="C169" s="50" t="s">
        <v>864</v>
      </c>
      <c r="D169" s="39">
        <v>20230009</v>
      </c>
    </row>
    <row r="170" spans="1:4" x14ac:dyDescent="0.25">
      <c r="A170" s="40" t="s">
        <v>341</v>
      </c>
      <c r="B170" s="44" t="s">
        <v>658</v>
      </c>
      <c r="C170" s="50" t="s">
        <v>863</v>
      </c>
      <c r="D170" s="39">
        <v>20230009</v>
      </c>
    </row>
    <row r="171" spans="1:4" x14ac:dyDescent="0.25">
      <c r="A171" s="40" t="s">
        <v>341</v>
      </c>
      <c r="B171" s="44" t="s">
        <v>784</v>
      </c>
      <c r="C171" s="50" t="s">
        <v>637</v>
      </c>
      <c r="D171" s="39">
        <v>10410023</v>
      </c>
    </row>
    <row r="172" spans="1:4" ht="24" x14ac:dyDescent="0.25">
      <c r="A172" s="40" t="s">
        <v>341</v>
      </c>
      <c r="B172" s="44" t="s">
        <v>262</v>
      </c>
      <c r="C172" s="50" t="s">
        <v>165</v>
      </c>
      <c r="D172" s="39">
        <v>20230009</v>
      </c>
    </row>
    <row r="173" spans="1:4" ht="24" x14ac:dyDescent="0.25">
      <c r="A173" s="40" t="s">
        <v>341</v>
      </c>
      <c r="B173" s="44" t="s">
        <v>703</v>
      </c>
      <c r="C173" s="50" t="s">
        <v>704</v>
      </c>
      <c r="D173" s="39">
        <v>10410023</v>
      </c>
    </row>
    <row r="174" spans="1:4" x14ac:dyDescent="0.25">
      <c r="A174" s="40" t="s">
        <v>341</v>
      </c>
      <c r="B174" s="44" t="s">
        <v>648</v>
      </c>
      <c r="C174" s="50" t="s">
        <v>862</v>
      </c>
      <c r="D174" s="39">
        <v>20230009</v>
      </c>
    </row>
    <row r="175" spans="1:4" x14ac:dyDescent="0.25">
      <c r="A175" s="40" t="s">
        <v>341</v>
      </c>
      <c r="B175" s="44" t="s">
        <v>287</v>
      </c>
      <c r="C175" s="50" t="s">
        <v>861</v>
      </c>
      <c r="D175" s="39">
        <v>20230009</v>
      </c>
    </row>
    <row r="176" spans="1:4" ht="24" x14ac:dyDescent="0.25">
      <c r="A176" s="40" t="s">
        <v>341</v>
      </c>
      <c r="B176" s="44" t="s">
        <v>705</v>
      </c>
      <c r="C176" s="50" t="s">
        <v>860</v>
      </c>
      <c r="D176" s="39">
        <v>20230009</v>
      </c>
    </row>
    <row r="177" spans="1:4" x14ac:dyDescent="0.25">
      <c r="A177" s="40" t="s">
        <v>341</v>
      </c>
      <c r="B177" s="44" t="s">
        <v>657</v>
      </c>
      <c r="C177" s="50" t="s">
        <v>859</v>
      </c>
      <c r="D177" s="39">
        <v>20230009</v>
      </c>
    </row>
    <row r="178" spans="1:4" ht="24" x14ac:dyDescent="0.25">
      <c r="A178" s="40" t="s">
        <v>341</v>
      </c>
      <c r="B178" s="44" t="s">
        <v>649</v>
      </c>
      <c r="C178" s="50" t="s">
        <v>858</v>
      </c>
      <c r="D178" s="39">
        <v>20230019</v>
      </c>
    </row>
    <row r="179" spans="1:4" ht="24" x14ac:dyDescent="0.25">
      <c r="A179" s="40" t="s">
        <v>341</v>
      </c>
      <c r="B179" s="44" t="s">
        <v>706</v>
      </c>
      <c r="C179" s="50" t="s">
        <v>857</v>
      </c>
      <c r="D179" s="39">
        <v>20230009</v>
      </c>
    </row>
    <row r="180" spans="1:4" ht="36" x14ac:dyDescent="0.25">
      <c r="A180" s="40" t="s">
        <v>341</v>
      </c>
      <c r="B180" s="44" t="s">
        <v>564</v>
      </c>
      <c r="C180" s="50" t="s">
        <v>856</v>
      </c>
      <c r="D180" s="39">
        <v>20230009</v>
      </c>
    </row>
    <row r="181" spans="1:4" x14ac:dyDescent="0.25">
      <c r="A181" s="40" t="s">
        <v>341</v>
      </c>
      <c r="B181" s="44" t="s">
        <v>812</v>
      </c>
      <c r="C181" s="50" t="s">
        <v>855</v>
      </c>
      <c r="D181" s="39">
        <v>20230009</v>
      </c>
    </row>
    <row r="182" spans="1:4" ht="24" x14ac:dyDescent="0.25">
      <c r="A182" s="40" t="s">
        <v>341</v>
      </c>
      <c r="B182" s="44" t="s">
        <v>707</v>
      </c>
      <c r="C182" s="50" t="s">
        <v>854</v>
      </c>
      <c r="D182" s="39">
        <v>20230009</v>
      </c>
    </row>
    <row r="183" spans="1:4" ht="24" x14ac:dyDescent="0.25">
      <c r="A183" s="40" t="s">
        <v>341</v>
      </c>
      <c r="B183" s="44" t="s">
        <v>708</v>
      </c>
      <c r="C183" s="50" t="s">
        <v>853</v>
      </c>
      <c r="D183" s="39">
        <v>20230009</v>
      </c>
    </row>
    <row r="184" spans="1:4" ht="36" x14ac:dyDescent="0.25">
      <c r="A184" s="40" t="s">
        <v>341</v>
      </c>
      <c r="B184" s="44" t="s">
        <v>824</v>
      </c>
      <c r="C184" s="50" t="s">
        <v>852</v>
      </c>
      <c r="D184" s="39">
        <v>20230044</v>
      </c>
    </row>
    <row r="185" spans="1:4" ht="24" x14ac:dyDescent="0.25">
      <c r="A185" s="40" t="s">
        <v>341</v>
      </c>
      <c r="B185" s="44" t="s">
        <v>840</v>
      </c>
      <c r="C185" s="50" t="s">
        <v>851</v>
      </c>
      <c r="D185" s="39">
        <v>20230009</v>
      </c>
    </row>
    <row r="186" spans="1:4" x14ac:dyDescent="0.25">
      <c r="A186" s="40" t="s">
        <v>342</v>
      </c>
      <c r="B186" s="44" t="s">
        <v>638</v>
      </c>
      <c r="C186" s="50" t="s">
        <v>639</v>
      </c>
      <c r="D186" s="39">
        <v>20230009</v>
      </c>
    </row>
    <row r="187" spans="1:4" ht="24" x14ac:dyDescent="0.25">
      <c r="A187" s="40" t="s">
        <v>342</v>
      </c>
      <c r="B187" s="44" t="s">
        <v>263</v>
      </c>
      <c r="C187" s="50" t="s">
        <v>166</v>
      </c>
      <c r="D187" s="39">
        <v>20230009</v>
      </c>
    </row>
    <row r="188" spans="1:4" x14ac:dyDescent="0.25">
      <c r="A188" s="40" t="s">
        <v>369</v>
      </c>
      <c r="B188" s="44" t="s">
        <v>656</v>
      </c>
      <c r="C188" s="50" t="s">
        <v>167</v>
      </c>
      <c r="D188" s="39">
        <v>20230009</v>
      </c>
    </row>
    <row r="189" spans="1:4" ht="24" x14ac:dyDescent="0.25">
      <c r="A189" s="40" t="s">
        <v>369</v>
      </c>
      <c r="B189" s="44" t="s">
        <v>598</v>
      </c>
      <c r="C189" s="50" t="s">
        <v>599</v>
      </c>
      <c r="D189" s="39">
        <v>20230019</v>
      </c>
    </row>
    <row r="190" spans="1:4" x14ac:dyDescent="0.25">
      <c r="A190" s="40" t="s">
        <v>369</v>
      </c>
      <c r="B190" s="44" t="s">
        <v>640</v>
      </c>
      <c r="C190" s="50" t="s">
        <v>641</v>
      </c>
      <c r="D190" s="39">
        <v>10410023</v>
      </c>
    </row>
    <row r="191" spans="1:4" ht="24" x14ac:dyDescent="0.25">
      <c r="A191" s="40" t="s">
        <v>370</v>
      </c>
      <c r="B191" s="44" t="s">
        <v>655</v>
      </c>
      <c r="C191" s="50" t="s">
        <v>168</v>
      </c>
      <c r="D191" s="39">
        <v>20230009</v>
      </c>
    </row>
    <row r="192" spans="1:4" x14ac:dyDescent="0.25">
      <c r="A192" s="40" t="s">
        <v>370</v>
      </c>
      <c r="B192" s="44" t="s">
        <v>654</v>
      </c>
      <c r="C192" s="50" t="s">
        <v>169</v>
      </c>
      <c r="D192" s="39">
        <v>20230009</v>
      </c>
    </row>
    <row r="193" spans="1:4" ht="24" x14ac:dyDescent="0.25">
      <c r="A193" s="40" t="s">
        <v>370</v>
      </c>
      <c r="B193" s="44" t="s">
        <v>653</v>
      </c>
      <c r="C193" s="50" t="s">
        <v>170</v>
      </c>
      <c r="D193" s="39">
        <v>20230009</v>
      </c>
    </row>
    <row r="194" spans="1:4" ht="24" x14ac:dyDescent="0.25">
      <c r="A194" s="40" t="s">
        <v>370</v>
      </c>
      <c r="B194" s="44" t="s">
        <v>589</v>
      </c>
      <c r="C194" s="50" t="s">
        <v>590</v>
      </c>
      <c r="D194" s="39">
        <v>20230019</v>
      </c>
    </row>
    <row r="195" spans="1:4" x14ac:dyDescent="0.25">
      <c r="A195" s="40" t="s">
        <v>370</v>
      </c>
      <c r="B195" s="44" t="s">
        <v>591</v>
      </c>
      <c r="C195" s="50" t="s">
        <v>592</v>
      </c>
      <c r="D195" s="39">
        <v>20230019</v>
      </c>
    </row>
    <row r="196" spans="1:4" ht="24" x14ac:dyDescent="0.25">
      <c r="A196" s="40" t="s">
        <v>370</v>
      </c>
      <c r="B196" s="44" t="s">
        <v>593</v>
      </c>
      <c r="C196" s="50" t="s">
        <v>594</v>
      </c>
      <c r="D196" s="39">
        <v>20230019</v>
      </c>
    </row>
    <row r="197" spans="1:4" x14ac:dyDescent="0.25">
      <c r="A197" s="40" t="s">
        <v>370</v>
      </c>
      <c r="B197" s="44" t="s">
        <v>642</v>
      </c>
      <c r="C197" s="50" t="s">
        <v>643</v>
      </c>
      <c r="D197" s="39">
        <v>10410023</v>
      </c>
    </row>
    <row r="198" spans="1:4" ht="24" x14ac:dyDescent="0.25">
      <c r="A198" s="40" t="s">
        <v>370</v>
      </c>
      <c r="B198" s="44" t="s">
        <v>841</v>
      </c>
      <c r="C198" s="52" t="s">
        <v>842</v>
      </c>
      <c r="D198" s="39">
        <v>20230044</v>
      </c>
    </row>
    <row r="199" spans="1:4" ht="24" x14ac:dyDescent="0.25">
      <c r="A199" s="40" t="s">
        <v>370</v>
      </c>
      <c r="B199" s="44" t="s">
        <v>845</v>
      </c>
      <c r="C199" s="52" t="s">
        <v>843</v>
      </c>
      <c r="D199" s="39">
        <v>20230044</v>
      </c>
    </row>
    <row r="200" spans="1:4" ht="24" x14ac:dyDescent="0.25">
      <c r="A200" s="40" t="s">
        <v>370</v>
      </c>
      <c r="B200" s="44" t="s">
        <v>846</v>
      </c>
      <c r="C200" s="52" t="s">
        <v>844</v>
      </c>
      <c r="D200" s="39">
        <v>20230044</v>
      </c>
    </row>
    <row r="201" spans="1:4" x14ac:dyDescent="0.25">
      <c r="A201" s="40" t="s">
        <v>371</v>
      </c>
      <c r="B201" s="44" t="s">
        <v>264</v>
      </c>
      <c r="C201" s="50" t="s">
        <v>171</v>
      </c>
      <c r="D201" s="39">
        <v>20230009</v>
      </c>
    </row>
    <row r="202" spans="1:4" x14ac:dyDescent="0.25">
      <c r="A202" s="40" t="s">
        <v>371</v>
      </c>
      <c r="B202" s="44" t="s">
        <v>792</v>
      </c>
      <c r="C202" s="50" t="s">
        <v>644</v>
      </c>
      <c r="D202" s="39">
        <v>10410023</v>
      </c>
    </row>
    <row r="203" spans="1:4" ht="24" x14ac:dyDescent="0.25">
      <c r="A203" s="40" t="s">
        <v>371</v>
      </c>
      <c r="B203" s="44" t="s">
        <v>709</v>
      </c>
      <c r="C203" s="50" t="s">
        <v>570</v>
      </c>
      <c r="D203" s="39">
        <v>20230009</v>
      </c>
    </row>
    <row r="204" spans="1:4" ht="24" x14ac:dyDescent="0.25">
      <c r="A204" s="40" t="s">
        <v>371</v>
      </c>
      <c r="B204" s="44" t="s">
        <v>710</v>
      </c>
      <c r="C204" s="50" t="s">
        <v>571</v>
      </c>
      <c r="D204" s="39">
        <v>20230019</v>
      </c>
    </row>
    <row r="205" spans="1:4" ht="24" x14ac:dyDescent="0.25">
      <c r="A205" s="40" t="s">
        <v>371</v>
      </c>
      <c r="B205" s="44" t="s">
        <v>751</v>
      </c>
      <c r="C205" s="50" t="s">
        <v>752</v>
      </c>
      <c r="D205" s="39">
        <v>20230009</v>
      </c>
    </row>
    <row r="206" spans="1:4" ht="24" x14ac:dyDescent="0.25">
      <c r="A206" s="40" t="s">
        <v>371</v>
      </c>
      <c r="B206" s="44" t="s">
        <v>753</v>
      </c>
      <c r="C206" s="50" t="s">
        <v>754</v>
      </c>
      <c r="D206" s="39">
        <v>20230009</v>
      </c>
    </row>
    <row r="207" spans="1:4" x14ac:dyDescent="0.25">
      <c r="A207" s="40" t="s">
        <v>371</v>
      </c>
      <c r="B207" s="44" t="s">
        <v>808</v>
      </c>
      <c r="C207" s="50" t="s">
        <v>809</v>
      </c>
      <c r="D207" s="39">
        <v>10410023</v>
      </c>
    </row>
    <row r="208" spans="1:4" ht="24" x14ac:dyDescent="0.25">
      <c r="A208" s="40" t="s">
        <v>371</v>
      </c>
      <c r="B208" s="44" t="s">
        <v>847</v>
      </c>
      <c r="C208" s="50" t="s">
        <v>848</v>
      </c>
      <c r="D208" s="39">
        <v>20230019</v>
      </c>
    </row>
    <row r="209" spans="1:4" ht="24" x14ac:dyDescent="0.25">
      <c r="A209" s="40" t="s">
        <v>372</v>
      </c>
      <c r="B209" s="44" t="s">
        <v>265</v>
      </c>
      <c r="C209" s="50" t="s">
        <v>172</v>
      </c>
      <c r="D209" s="39">
        <v>20230009</v>
      </c>
    </row>
    <row r="210" spans="1:4" ht="24" x14ac:dyDescent="0.25">
      <c r="A210" s="40" t="s">
        <v>372</v>
      </c>
      <c r="B210" s="44" t="s">
        <v>266</v>
      </c>
      <c r="C210" s="50" t="s">
        <v>173</v>
      </c>
      <c r="D210" s="39">
        <v>20230009</v>
      </c>
    </row>
    <row r="211" spans="1:4" x14ac:dyDescent="0.25">
      <c r="A211" s="40" t="s">
        <v>372</v>
      </c>
      <c r="B211" s="44" t="s">
        <v>267</v>
      </c>
      <c r="C211" s="50" t="s">
        <v>174</v>
      </c>
      <c r="D211" s="39">
        <v>20230009</v>
      </c>
    </row>
    <row r="212" spans="1:4" x14ac:dyDescent="0.25">
      <c r="A212" s="40" t="s">
        <v>372</v>
      </c>
      <c r="B212" s="44" t="s">
        <v>595</v>
      </c>
      <c r="C212" s="50" t="s">
        <v>596</v>
      </c>
      <c r="D212" s="39">
        <v>20230009</v>
      </c>
    </row>
    <row r="213" spans="1:4" ht="24" x14ac:dyDescent="0.25">
      <c r="A213" s="40" t="s">
        <v>372</v>
      </c>
      <c r="B213" s="44" t="s">
        <v>711</v>
      </c>
      <c r="C213" s="50" t="s">
        <v>712</v>
      </c>
      <c r="D213" s="39">
        <v>10410023</v>
      </c>
    </row>
    <row r="214" spans="1:4" x14ac:dyDescent="0.25">
      <c r="A214" s="40" t="s">
        <v>372</v>
      </c>
      <c r="B214" s="44" t="s">
        <v>793</v>
      </c>
      <c r="C214" s="50" t="s">
        <v>713</v>
      </c>
      <c r="D214" s="39">
        <v>10410023</v>
      </c>
    </row>
    <row r="215" spans="1:4" x14ac:dyDescent="0.25">
      <c r="A215" s="40" t="s">
        <v>372</v>
      </c>
      <c r="B215" s="44" t="s">
        <v>646</v>
      </c>
      <c r="C215" s="50" t="s">
        <v>647</v>
      </c>
      <c r="D215" s="39">
        <v>20230009</v>
      </c>
    </row>
    <row r="216" spans="1:4" ht="24" x14ac:dyDescent="0.25">
      <c r="A216" s="40" t="s">
        <v>372</v>
      </c>
      <c r="B216" s="44" t="s">
        <v>755</v>
      </c>
      <c r="C216" s="50" t="s">
        <v>756</v>
      </c>
      <c r="D216" s="39">
        <v>10410023</v>
      </c>
    </row>
    <row r="217" spans="1:4" ht="24" x14ac:dyDescent="0.25">
      <c r="A217" s="40" t="s">
        <v>373</v>
      </c>
      <c r="B217" s="44" t="s">
        <v>268</v>
      </c>
      <c r="C217" s="50" t="s">
        <v>175</v>
      </c>
      <c r="D217" s="39">
        <v>20230009</v>
      </c>
    </row>
    <row r="218" spans="1:4" x14ac:dyDescent="0.25">
      <c r="A218" s="40" t="s">
        <v>373</v>
      </c>
      <c r="B218" s="44" t="s">
        <v>786</v>
      </c>
      <c r="C218" s="50" t="s">
        <v>645</v>
      </c>
      <c r="D218" s="39">
        <v>10410023</v>
      </c>
    </row>
    <row r="219" spans="1:4" ht="24" x14ac:dyDescent="0.25">
      <c r="A219" s="40" t="s">
        <v>763</v>
      </c>
      <c r="B219" s="44" t="s">
        <v>757</v>
      </c>
      <c r="C219" s="50" t="s">
        <v>758</v>
      </c>
      <c r="D219" s="39" t="s">
        <v>559</v>
      </c>
    </row>
    <row r="220" spans="1:4" x14ac:dyDescent="0.25">
      <c r="A220" s="40" t="s">
        <v>763</v>
      </c>
      <c r="B220" s="44" t="s">
        <v>759</v>
      </c>
      <c r="C220" s="50" t="s">
        <v>760</v>
      </c>
      <c r="D220" s="39" t="s">
        <v>559</v>
      </c>
    </row>
    <row r="221" spans="1:4" x14ac:dyDescent="0.25">
      <c r="A221" s="40" t="s">
        <v>763</v>
      </c>
      <c r="B221" s="44" t="s">
        <v>761</v>
      </c>
      <c r="C221" s="50" t="s">
        <v>762</v>
      </c>
      <c r="D221" s="39" t="s">
        <v>559</v>
      </c>
    </row>
    <row r="222" spans="1:4" ht="48" x14ac:dyDescent="0.25">
      <c r="A222" s="40" t="s">
        <v>343</v>
      </c>
      <c r="B222" s="44" t="s">
        <v>714</v>
      </c>
      <c r="C222" s="50" t="s">
        <v>176</v>
      </c>
      <c r="D222" s="39">
        <v>20230009</v>
      </c>
    </row>
    <row r="223" spans="1:4" x14ac:dyDescent="0.25">
      <c r="A223" s="40" t="s">
        <v>343</v>
      </c>
      <c r="B223" s="44" t="s">
        <v>269</v>
      </c>
      <c r="C223" s="50" t="s">
        <v>177</v>
      </c>
      <c r="D223" s="39">
        <v>10410023</v>
      </c>
    </row>
    <row r="224" spans="1:4" ht="24" x14ac:dyDescent="0.25">
      <c r="A224" s="40" t="s">
        <v>343</v>
      </c>
      <c r="B224" s="44" t="s">
        <v>652</v>
      </c>
      <c r="C224" s="50" t="s">
        <v>178</v>
      </c>
      <c r="D224" s="39">
        <v>20230009</v>
      </c>
    </row>
    <row r="225" spans="1:4" x14ac:dyDescent="0.25">
      <c r="A225" s="40" t="s">
        <v>343</v>
      </c>
      <c r="B225" s="44" t="s">
        <v>785</v>
      </c>
      <c r="C225" s="50" t="s">
        <v>597</v>
      </c>
      <c r="D225" s="38">
        <v>10410023</v>
      </c>
    </row>
    <row r="226" spans="1:4" x14ac:dyDescent="0.25">
      <c r="A226" s="40" t="s">
        <v>344</v>
      </c>
      <c r="B226" s="44" t="s">
        <v>270</v>
      </c>
      <c r="C226" s="50" t="s">
        <v>179</v>
      </c>
      <c r="D226" s="39">
        <v>20230016</v>
      </c>
    </row>
    <row r="227" spans="1:4" ht="24" x14ac:dyDescent="0.25">
      <c r="A227" s="40" t="s">
        <v>344</v>
      </c>
      <c r="B227" s="44" t="s">
        <v>271</v>
      </c>
      <c r="C227" s="50" t="s">
        <v>180</v>
      </c>
      <c r="D227" s="39">
        <v>20230016</v>
      </c>
    </row>
    <row r="228" spans="1:4" ht="24" x14ac:dyDescent="0.25">
      <c r="A228" s="40" t="s">
        <v>344</v>
      </c>
      <c r="B228" s="44" t="s">
        <v>272</v>
      </c>
      <c r="C228" s="50" t="s">
        <v>181</v>
      </c>
      <c r="D228" s="39">
        <v>20230016</v>
      </c>
    </row>
    <row r="229" spans="1:4" ht="24" x14ac:dyDescent="0.25">
      <c r="A229" s="40" t="s">
        <v>344</v>
      </c>
      <c r="B229" s="44" t="s">
        <v>273</v>
      </c>
      <c r="C229" s="50" t="s">
        <v>182</v>
      </c>
      <c r="D229" s="39">
        <v>20230016</v>
      </c>
    </row>
    <row r="230" spans="1:4" ht="24" x14ac:dyDescent="0.25">
      <c r="A230" s="40" t="s">
        <v>344</v>
      </c>
      <c r="B230" s="44" t="s">
        <v>274</v>
      </c>
      <c r="C230" s="50" t="s">
        <v>183</v>
      </c>
      <c r="D230" s="39">
        <v>20230016</v>
      </c>
    </row>
    <row r="231" spans="1:4" x14ac:dyDescent="0.25">
      <c r="A231" s="40" t="s">
        <v>344</v>
      </c>
      <c r="B231" s="44" t="s">
        <v>275</v>
      </c>
      <c r="C231" s="50" t="s">
        <v>184</v>
      </c>
      <c r="D231" s="39">
        <v>20230016</v>
      </c>
    </row>
    <row r="232" spans="1:4" ht="24" x14ac:dyDescent="0.25">
      <c r="A232" s="40" t="s">
        <v>344</v>
      </c>
      <c r="B232" s="44" t="s">
        <v>276</v>
      </c>
      <c r="C232" s="50" t="s">
        <v>185</v>
      </c>
      <c r="D232" s="39">
        <v>20230016</v>
      </c>
    </row>
    <row r="233" spans="1:4" ht="24" x14ac:dyDescent="0.25">
      <c r="A233" s="40" t="s">
        <v>344</v>
      </c>
      <c r="B233" s="44" t="s">
        <v>277</v>
      </c>
      <c r="C233" s="50" t="s">
        <v>186</v>
      </c>
      <c r="D233" s="39">
        <v>20230016</v>
      </c>
    </row>
    <row r="234" spans="1:4" ht="24" x14ac:dyDescent="0.25">
      <c r="A234" s="40" t="s">
        <v>344</v>
      </c>
      <c r="B234" s="44" t="s">
        <v>278</v>
      </c>
      <c r="C234" s="50" t="s">
        <v>187</v>
      </c>
      <c r="D234" s="39">
        <v>20230016</v>
      </c>
    </row>
    <row r="235" spans="1:4" ht="24" x14ac:dyDescent="0.25">
      <c r="A235" s="40" t="s">
        <v>344</v>
      </c>
      <c r="B235" s="44" t="s">
        <v>279</v>
      </c>
      <c r="C235" s="50" t="s">
        <v>188</v>
      </c>
      <c r="D235" s="39">
        <v>20230016</v>
      </c>
    </row>
    <row r="236" spans="1:4" ht="24" x14ac:dyDescent="0.25">
      <c r="A236" s="40" t="s">
        <v>344</v>
      </c>
      <c r="B236" s="44" t="s">
        <v>280</v>
      </c>
      <c r="C236" s="50" t="s">
        <v>189</v>
      </c>
      <c r="D236" s="39">
        <v>20230016</v>
      </c>
    </row>
    <row r="237" spans="1:4" ht="24" x14ac:dyDescent="0.25">
      <c r="A237" s="40" t="s">
        <v>344</v>
      </c>
      <c r="B237" s="44" t="s">
        <v>281</v>
      </c>
      <c r="C237" s="50" t="s">
        <v>190</v>
      </c>
      <c r="D237" s="39">
        <v>20230016</v>
      </c>
    </row>
    <row r="238" spans="1:4" x14ac:dyDescent="0.25">
      <c r="A238" s="40" t="s">
        <v>344</v>
      </c>
      <c r="B238" s="44" t="s">
        <v>282</v>
      </c>
      <c r="C238" s="50" t="s">
        <v>191</v>
      </c>
      <c r="D238" s="39">
        <v>20230016</v>
      </c>
    </row>
    <row r="239" spans="1:4" ht="24" x14ac:dyDescent="0.25">
      <c r="A239" s="40" t="s">
        <v>344</v>
      </c>
      <c r="B239" s="44" t="s">
        <v>283</v>
      </c>
      <c r="C239" s="50" t="s">
        <v>192</v>
      </c>
      <c r="D239" s="39">
        <v>20230016</v>
      </c>
    </row>
    <row r="240" spans="1:4" ht="24" x14ac:dyDescent="0.25">
      <c r="A240" s="40" t="s">
        <v>344</v>
      </c>
      <c r="B240" s="44" t="s">
        <v>284</v>
      </c>
      <c r="C240" s="50" t="s">
        <v>193</v>
      </c>
      <c r="D240" s="39">
        <v>20230016</v>
      </c>
    </row>
    <row r="241" spans="1:4" ht="24" x14ac:dyDescent="0.25">
      <c r="A241" s="40" t="s">
        <v>344</v>
      </c>
      <c r="B241" s="44" t="s">
        <v>715</v>
      </c>
      <c r="C241" s="50" t="s">
        <v>194</v>
      </c>
      <c r="D241" s="39">
        <v>20230016</v>
      </c>
    </row>
    <row r="242" spans="1:4" ht="24" x14ac:dyDescent="0.25">
      <c r="A242" s="40" t="s">
        <v>374</v>
      </c>
      <c r="B242" s="44" t="s">
        <v>285</v>
      </c>
      <c r="C242" s="50" t="s">
        <v>195</v>
      </c>
      <c r="D242" s="39">
        <v>20230009</v>
      </c>
    </row>
    <row r="243" spans="1:4" ht="24" x14ac:dyDescent="0.25">
      <c r="A243" s="40" t="s">
        <v>374</v>
      </c>
      <c r="B243" s="44" t="s">
        <v>286</v>
      </c>
      <c r="C243" s="50" t="s">
        <v>196</v>
      </c>
      <c r="D243" s="39">
        <v>20230009</v>
      </c>
    </row>
    <row r="244" spans="1:4" ht="24" x14ac:dyDescent="0.25">
      <c r="A244" s="40" t="s">
        <v>374</v>
      </c>
      <c r="B244" s="44" t="s">
        <v>849</v>
      </c>
      <c r="C244" s="52" t="s">
        <v>850</v>
      </c>
      <c r="D244" s="39">
        <v>20230029</v>
      </c>
    </row>
    <row r="245" spans="1:4" ht="24" x14ac:dyDescent="0.25">
      <c r="A245" s="40" t="s">
        <v>813</v>
      </c>
      <c r="B245" s="44" t="s">
        <v>815</v>
      </c>
      <c r="C245" s="50" t="s">
        <v>814</v>
      </c>
      <c r="D245" s="39">
        <v>20230009</v>
      </c>
    </row>
    <row r="246" spans="1:4" x14ac:dyDescent="0.25">
      <c r="B246" s="39"/>
      <c r="C246" s="38"/>
    </row>
    <row r="247" spans="1:4" x14ac:dyDescent="0.25">
      <c r="B247" s="39"/>
      <c r="C247" s="38"/>
    </row>
    <row r="248" spans="1:4" x14ac:dyDescent="0.25">
      <c r="B248" s="39"/>
      <c r="C248" s="38"/>
    </row>
    <row r="249" spans="1:4" x14ac:dyDescent="0.25">
      <c r="B249" s="39"/>
      <c r="C249" s="38"/>
    </row>
    <row r="250" spans="1:4" x14ac:dyDescent="0.25">
      <c r="B250" s="39"/>
      <c r="C250" s="38"/>
    </row>
    <row r="251" spans="1:4" x14ac:dyDescent="0.25">
      <c r="B251" s="39"/>
      <c r="C251" s="38"/>
    </row>
    <row r="252" spans="1:4" x14ac:dyDescent="0.25">
      <c r="B252" s="39"/>
      <c r="C252" s="38"/>
    </row>
    <row r="253" spans="1:4" x14ac:dyDescent="0.25">
      <c r="B253" s="39"/>
      <c r="C253" s="38"/>
    </row>
    <row r="254" spans="1:4" x14ac:dyDescent="0.25">
      <c r="B254" s="39"/>
      <c r="C254" s="38"/>
    </row>
    <row r="255" spans="1:4" x14ac:dyDescent="0.25">
      <c r="B255" s="39"/>
      <c r="C255" s="38"/>
    </row>
    <row r="256" spans="1:4" x14ac:dyDescent="0.25">
      <c r="B256" s="39"/>
      <c r="C256" s="38"/>
    </row>
    <row r="257" spans="2:3" x14ac:dyDescent="0.25">
      <c r="B257" s="39"/>
      <c r="C257" s="38"/>
    </row>
    <row r="258" spans="2:3" x14ac:dyDescent="0.25">
      <c r="B258" s="39"/>
      <c r="C258" s="38"/>
    </row>
    <row r="259" spans="2:3" x14ac:dyDescent="0.25">
      <c r="B259" s="39"/>
      <c r="C259" s="38"/>
    </row>
    <row r="260" spans="2:3" x14ac:dyDescent="0.25">
      <c r="B260" s="39"/>
      <c r="C260" s="38"/>
    </row>
    <row r="261" spans="2:3" x14ac:dyDescent="0.25">
      <c r="B261" s="39"/>
      <c r="C261" s="38"/>
    </row>
    <row r="262" spans="2:3" x14ac:dyDescent="0.25">
      <c r="B262" s="39"/>
      <c r="C262" s="38"/>
    </row>
    <row r="263" spans="2:3" x14ac:dyDescent="0.25">
      <c r="B263" s="39"/>
      <c r="C263" s="38"/>
    </row>
    <row r="264" spans="2:3" x14ac:dyDescent="0.25">
      <c r="B264" s="39"/>
      <c r="C264" s="38"/>
    </row>
    <row r="265" spans="2:3" x14ac:dyDescent="0.25">
      <c r="B265" s="39"/>
      <c r="C265" s="38"/>
    </row>
    <row r="266" spans="2:3" x14ac:dyDescent="0.25">
      <c r="B266" s="39"/>
      <c r="C266" s="38"/>
    </row>
    <row r="267" spans="2:3" x14ac:dyDescent="0.25">
      <c r="B267" s="39"/>
      <c r="C267" s="38"/>
    </row>
    <row r="268" spans="2:3" x14ac:dyDescent="0.25">
      <c r="B268" s="39"/>
      <c r="C268" s="38"/>
    </row>
    <row r="269" spans="2:3" x14ac:dyDescent="0.25">
      <c r="B269" s="39"/>
      <c r="C269" s="38"/>
    </row>
    <row r="270" spans="2:3" x14ac:dyDescent="0.25">
      <c r="B270" s="39"/>
      <c r="C270" s="38"/>
    </row>
    <row r="271" spans="2:3" x14ac:dyDescent="0.25">
      <c r="B271" s="39"/>
      <c r="C271" s="38"/>
    </row>
    <row r="272" spans="2:3" x14ac:dyDescent="0.25">
      <c r="B272" s="39"/>
      <c r="C272" s="38"/>
    </row>
    <row r="273" spans="2:3" x14ac:dyDescent="0.25">
      <c r="B273" s="39"/>
      <c r="C273" s="38"/>
    </row>
    <row r="274" spans="2:3" x14ac:dyDescent="0.25">
      <c r="B274" s="39"/>
      <c r="C274" s="38"/>
    </row>
    <row r="275" spans="2:3" x14ac:dyDescent="0.25">
      <c r="B275" s="39"/>
      <c r="C275" s="38"/>
    </row>
    <row r="276" spans="2:3" x14ac:dyDescent="0.25">
      <c r="B276" s="39"/>
      <c r="C276" s="38"/>
    </row>
    <row r="277" spans="2:3" x14ac:dyDescent="0.25">
      <c r="B277" s="39"/>
      <c r="C277" s="38"/>
    </row>
    <row r="278" spans="2:3" x14ac:dyDescent="0.25">
      <c r="B278" s="39"/>
      <c r="C278" s="38"/>
    </row>
    <row r="279" spans="2:3" x14ac:dyDescent="0.25">
      <c r="B279" s="39"/>
      <c r="C279" s="38"/>
    </row>
    <row r="280" spans="2:3" x14ac:dyDescent="0.25">
      <c r="B280" s="39"/>
      <c r="C280" s="38"/>
    </row>
    <row r="281" spans="2:3" x14ac:dyDescent="0.25">
      <c r="B281" s="39"/>
      <c r="C281" s="38"/>
    </row>
    <row r="282" spans="2:3" x14ac:dyDescent="0.25">
      <c r="B282" s="39"/>
      <c r="C282" s="38"/>
    </row>
    <row r="283" spans="2:3" x14ac:dyDescent="0.25">
      <c r="B283" s="39"/>
      <c r="C283" s="38"/>
    </row>
    <row r="284" spans="2:3" x14ac:dyDescent="0.25">
      <c r="B284" s="39"/>
      <c r="C284" s="38"/>
    </row>
    <row r="285" spans="2:3" x14ac:dyDescent="0.25">
      <c r="B285" s="39"/>
      <c r="C285" s="38"/>
    </row>
    <row r="286" spans="2:3" x14ac:dyDescent="0.25">
      <c r="B286" s="39"/>
      <c r="C286" s="38"/>
    </row>
    <row r="287" spans="2:3" x14ac:dyDescent="0.25">
      <c r="B287" s="39"/>
      <c r="C287" s="38"/>
    </row>
    <row r="288" spans="2:3" x14ac:dyDescent="0.25">
      <c r="B288" s="39"/>
      <c r="C288" s="38"/>
    </row>
    <row r="289" spans="2:3" x14ac:dyDescent="0.25">
      <c r="B289" s="39"/>
      <c r="C289" s="38"/>
    </row>
    <row r="290" spans="2:3" x14ac:dyDescent="0.25">
      <c r="B290" s="39"/>
      <c r="C290" s="38"/>
    </row>
    <row r="291" spans="2:3" x14ac:dyDescent="0.25">
      <c r="B291" s="39"/>
      <c r="C291" s="38"/>
    </row>
    <row r="292" spans="2:3" x14ac:dyDescent="0.25">
      <c r="B292" s="39"/>
      <c r="C292" s="38"/>
    </row>
    <row r="293" spans="2:3" x14ac:dyDescent="0.25">
      <c r="B293" s="39"/>
      <c r="C293" s="38"/>
    </row>
    <row r="294" spans="2:3" x14ac:dyDescent="0.25">
      <c r="B294" s="39"/>
      <c r="C294" s="38"/>
    </row>
    <row r="295" spans="2:3" x14ac:dyDescent="0.25">
      <c r="B295" s="39"/>
      <c r="C295" s="38"/>
    </row>
    <row r="296" spans="2:3" x14ac:dyDescent="0.25">
      <c r="B296" s="39"/>
      <c r="C296" s="38"/>
    </row>
    <row r="297" spans="2:3" x14ac:dyDescent="0.25">
      <c r="B297" s="39"/>
      <c r="C297" s="38"/>
    </row>
    <row r="298" spans="2:3" x14ac:dyDescent="0.25">
      <c r="B298" s="39"/>
      <c r="C298" s="38"/>
    </row>
    <row r="299" spans="2:3" x14ac:dyDescent="0.25">
      <c r="B299" s="39"/>
      <c r="C299" s="38"/>
    </row>
    <row r="300" spans="2:3" x14ac:dyDescent="0.25">
      <c r="B300" s="39"/>
      <c r="C300" s="38"/>
    </row>
    <row r="301" spans="2:3" x14ac:dyDescent="0.25">
      <c r="B301" s="39"/>
      <c r="C301" s="38"/>
    </row>
    <row r="302" spans="2:3" x14ac:dyDescent="0.25">
      <c r="B302" s="39"/>
      <c r="C302" s="38"/>
    </row>
    <row r="303" spans="2:3" x14ac:dyDescent="0.25">
      <c r="B303" s="39"/>
      <c r="C303" s="38"/>
    </row>
    <row r="304" spans="2:3" x14ac:dyDescent="0.25">
      <c r="B304" s="39"/>
      <c r="C304" s="38"/>
    </row>
    <row r="305" spans="2:3" x14ac:dyDescent="0.25">
      <c r="B305" s="39"/>
      <c r="C305" s="38"/>
    </row>
    <row r="306" spans="2:3" x14ac:dyDescent="0.25">
      <c r="B306" s="39"/>
      <c r="C306" s="38"/>
    </row>
    <row r="307" spans="2:3" x14ac:dyDescent="0.25">
      <c r="B307" s="39"/>
      <c r="C307" s="38"/>
    </row>
    <row r="308" spans="2:3" x14ac:dyDescent="0.25">
      <c r="B308" s="39"/>
      <c r="C308" s="38"/>
    </row>
    <row r="309" spans="2:3" x14ac:dyDescent="0.25">
      <c r="B309" s="39"/>
      <c r="C309" s="38"/>
    </row>
    <row r="310" spans="2:3" x14ac:dyDescent="0.25">
      <c r="B310" s="39"/>
      <c r="C310" s="38"/>
    </row>
    <row r="311" spans="2:3" x14ac:dyDescent="0.25">
      <c r="B311" s="39"/>
      <c r="C311" s="38"/>
    </row>
    <row r="312" spans="2:3" x14ac:dyDescent="0.25">
      <c r="B312" s="39"/>
      <c r="C312" s="38"/>
    </row>
    <row r="313" spans="2:3" x14ac:dyDescent="0.25">
      <c r="B313" s="39"/>
      <c r="C313" s="38"/>
    </row>
    <row r="314" spans="2:3" x14ac:dyDescent="0.25">
      <c r="B314" s="39"/>
      <c r="C314" s="38"/>
    </row>
    <row r="315" spans="2:3" x14ac:dyDescent="0.25">
      <c r="B315" s="39"/>
      <c r="C315" s="38"/>
    </row>
    <row r="316" spans="2:3" x14ac:dyDescent="0.25">
      <c r="B316" s="39"/>
      <c r="C316" s="38"/>
    </row>
    <row r="317" spans="2:3" x14ac:dyDescent="0.25">
      <c r="B317" s="39"/>
      <c r="C317" s="38"/>
    </row>
    <row r="318" spans="2:3" x14ac:dyDescent="0.25">
      <c r="B318" s="39"/>
      <c r="C318" s="38"/>
    </row>
    <row r="319" spans="2:3" x14ac:dyDescent="0.25">
      <c r="B319" s="39"/>
      <c r="C319" s="38"/>
    </row>
    <row r="320" spans="2:3" x14ac:dyDescent="0.25">
      <c r="B320" s="39"/>
      <c r="C320" s="38"/>
    </row>
    <row r="321" spans="2:3" x14ac:dyDescent="0.25">
      <c r="B321" s="39"/>
      <c r="C321" s="38"/>
    </row>
    <row r="322" spans="2:3" x14ac:dyDescent="0.25">
      <c r="B322" s="39"/>
      <c r="C322" s="38"/>
    </row>
    <row r="323" spans="2:3" x14ac:dyDescent="0.25">
      <c r="B323" s="39"/>
      <c r="C323" s="38"/>
    </row>
    <row r="324" spans="2:3" x14ac:dyDescent="0.25">
      <c r="B324" s="39"/>
      <c r="C324" s="38"/>
    </row>
    <row r="325" spans="2:3" x14ac:dyDescent="0.25">
      <c r="B325" s="39"/>
      <c r="C325" s="38"/>
    </row>
    <row r="326" spans="2:3" x14ac:dyDescent="0.25">
      <c r="B326" s="39"/>
      <c r="C326" s="38"/>
    </row>
    <row r="327" spans="2:3" x14ac:dyDescent="0.25">
      <c r="B327" s="39"/>
      <c r="C327" s="38"/>
    </row>
    <row r="328" spans="2:3" x14ac:dyDescent="0.25">
      <c r="B328" s="39"/>
      <c r="C328" s="38"/>
    </row>
    <row r="329" spans="2:3" x14ac:dyDescent="0.25">
      <c r="B329" s="39"/>
      <c r="C329" s="38"/>
    </row>
    <row r="330" spans="2:3" x14ac:dyDescent="0.25">
      <c r="B330" s="39"/>
      <c r="C330" s="38"/>
    </row>
    <row r="331" spans="2:3" x14ac:dyDescent="0.25">
      <c r="B331" s="39"/>
      <c r="C331" s="38"/>
    </row>
    <row r="332" spans="2:3" x14ac:dyDescent="0.25">
      <c r="B332" s="39"/>
      <c r="C332" s="38"/>
    </row>
    <row r="333" spans="2:3" x14ac:dyDescent="0.25">
      <c r="B333" s="39"/>
      <c r="C333" s="38"/>
    </row>
    <row r="334" spans="2:3" x14ac:dyDescent="0.25">
      <c r="B334" s="39"/>
      <c r="C334" s="38"/>
    </row>
    <row r="335" spans="2:3" x14ac:dyDescent="0.25">
      <c r="B335" s="39"/>
      <c r="C335" s="38"/>
    </row>
    <row r="336" spans="2:3" x14ac:dyDescent="0.25">
      <c r="B336" s="39"/>
      <c r="C336" s="38"/>
    </row>
    <row r="337" spans="2:3" x14ac:dyDescent="0.25">
      <c r="B337" s="39"/>
      <c r="C337" s="38"/>
    </row>
    <row r="338" spans="2:3" x14ac:dyDescent="0.25">
      <c r="B338" s="39"/>
      <c r="C338" s="38"/>
    </row>
    <row r="339" spans="2:3" x14ac:dyDescent="0.25">
      <c r="B339" s="39"/>
      <c r="C339" s="38"/>
    </row>
    <row r="340" spans="2:3" x14ac:dyDescent="0.25">
      <c r="B340" s="39"/>
      <c r="C340" s="38"/>
    </row>
    <row r="341" spans="2:3" x14ac:dyDescent="0.25">
      <c r="B341" s="39"/>
      <c r="C341" s="38"/>
    </row>
    <row r="342" spans="2:3" x14ac:dyDescent="0.25">
      <c r="B342" s="39"/>
      <c r="C342" s="38"/>
    </row>
    <row r="343" spans="2:3" x14ac:dyDescent="0.25">
      <c r="B343" s="39"/>
      <c r="C343" s="38"/>
    </row>
    <row r="344" spans="2:3" x14ac:dyDescent="0.25">
      <c r="B344" s="39"/>
      <c r="C344" s="38"/>
    </row>
    <row r="345" spans="2:3" x14ac:dyDescent="0.25">
      <c r="B345" s="39"/>
      <c r="C345" s="38"/>
    </row>
    <row r="346" spans="2:3" x14ac:dyDescent="0.25">
      <c r="B346" s="39"/>
      <c r="C346" s="38"/>
    </row>
    <row r="347" spans="2:3" x14ac:dyDescent="0.25">
      <c r="B347" s="39"/>
      <c r="C347" s="38"/>
    </row>
    <row r="348" spans="2:3" x14ac:dyDescent="0.25">
      <c r="B348" s="39"/>
      <c r="C348" s="38"/>
    </row>
    <row r="349" spans="2:3" x14ac:dyDescent="0.25">
      <c r="B349" s="39"/>
      <c r="C349" s="38"/>
    </row>
    <row r="350" spans="2:3" x14ac:dyDescent="0.25">
      <c r="B350" s="39"/>
      <c r="C350" s="38"/>
    </row>
    <row r="351" spans="2:3" x14ac:dyDescent="0.25">
      <c r="B351" s="39"/>
      <c r="C351" s="38"/>
    </row>
    <row r="352" spans="2:3" x14ac:dyDescent="0.25">
      <c r="B352" s="39"/>
      <c r="C352" s="38"/>
    </row>
    <row r="353" spans="2:3" x14ac:dyDescent="0.25">
      <c r="B353" s="39"/>
      <c r="C353" s="38"/>
    </row>
    <row r="354" spans="2:3" x14ac:dyDescent="0.25">
      <c r="B354" s="39"/>
      <c r="C354" s="38"/>
    </row>
    <row r="355" spans="2:3" x14ac:dyDescent="0.25">
      <c r="B355" s="39"/>
      <c r="C355" s="38"/>
    </row>
    <row r="356" spans="2:3" x14ac:dyDescent="0.25">
      <c r="B356" s="39"/>
      <c r="C356" s="38"/>
    </row>
    <row r="357" spans="2:3" x14ac:dyDescent="0.25">
      <c r="B357" s="39"/>
      <c r="C357" s="38"/>
    </row>
    <row r="358" spans="2:3" x14ac:dyDescent="0.25">
      <c r="B358" s="39"/>
      <c r="C358" s="38"/>
    </row>
    <row r="359" spans="2:3" x14ac:dyDescent="0.25">
      <c r="B359" s="39"/>
      <c r="C359" s="38"/>
    </row>
    <row r="360" spans="2:3" x14ac:dyDescent="0.25">
      <c r="B360" s="39"/>
      <c r="C360" s="38"/>
    </row>
    <row r="361" spans="2:3" x14ac:dyDescent="0.25">
      <c r="B361" s="39"/>
      <c r="C361" s="38"/>
    </row>
    <row r="362" spans="2:3" x14ac:dyDescent="0.25">
      <c r="B362" s="39"/>
      <c r="C362" s="38"/>
    </row>
    <row r="363" spans="2:3" x14ac:dyDescent="0.25">
      <c r="B363" s="39"/>
      <c r="C363" s="38"/>
    </row>
    <row r="364" spans="2:3" x14ac:dyDescent="0.25">
      <c r="B364" s="39"/>
      <c r="C364" s="38"/>
    </row>
    <row r="365" spans="2:3" x14ac:dyDescent="0.25">
      <c r="B365" s="39"/>
      <c r="C365" s="38"/>
    </row>
    <row r="366" spans="2:3" x14ac:dyDescent="0.25">
      <c r="B366" s="39"/>
      <c r="C366" s="38"/>
    </row>
    <row r="367" spans="2:3" x14ac:dyDescent="0.25">
      <c r="B367" s="39"/>
      <c r="C367" s="38"/>
    </row>
    <row r="368" spans="2:3" x14ac:dyDescent="0.25">
      <c r="B368" s="39"/>
      <c r="C368" s="38"/>
    </row>
    <row r="369" spans="2:3" x14ac:dyDescent="0.25">
      <c r="B369" s="39"/>
      <c r="C369" s="38"/>
    </row>
    <row r="370" spans="2:3" x14ac:dyDescent="0.25">
      <c r="B370" s="39"/>
      <c r="C370" s="38"/>
    </row>
    <row r="371" spans="2:3" x14ac:dyDescent="0.25">
      <c r="B371" s="39"/>
      <c r="C371" s="38"/>
    </row>
    <row r="372" spans="2:3" x14ac:dyDescent="0.25">
      <c r="B372" s="39"/>
      <c r="C372" s="38"/>
    </row>
    <row r="373" spans="2:3" x14ac:dyDescent="0.25">
      <c r="B373" s="39"/>
      <c r="C373" s="38"/>
    </row>
    <row r="374" spans="2:3" x14ac:dyDescent="0.25">
      <c r="B374" s="39"/>
      <c r="C374" s="38"/>
    </row>
    <row r="375" spans="2:3" x14ac:dyDescent="0.25">
      <c r="B375" s="39"/>
      <c r="C375" s="38"/>
    </row>
    <row r="376" spans="2:3" x14ac:dyDescent="0.25">
      <c r="B376" s="39"/>
      <c r="C376" s="38"/>
    </row>
    <row r="377" spans="2:3" x14ac:dyDescent="0.25">
      <c r="B377" s="39"/>
      <c r="C377" s="38"/>
    </row>
    <row r="378" spans="2:3" x14ac:dyDescent="0.25">
      <c r="B378" s="39"/>
      <c r="C378" s="38"/>
    </row>
    <row r="379" spans="2:3" x14ac:dyDescent="0.25">
      <c r="B379" s="39"/>
      <c r="C379" s="38"/>
    </row>
    <row r="380" spans="2:3" x14ac:dyDescent="0.25">
      <c r="B380" s="39"/>
      <c r="C380" s="38"/>
    </row>
    <row r="381" spans="2:3" x14ac:dyDescent="0.25">
      <c r="B381" s="39"/>
      <c r="C381" s="38"/>
    </row>
    <row r="382" spans="2:3" x14ac:dyDescent="0.25">
      <c r="B382" s="39"/>
      <c r="C382" s="38"/>
    </row>
    <row r="383" spans="2:3" x14ac:dyDescent="0.25">
      <c r="B383" s="39"/>
      <c r="C383" s="38"/>
    </row>
    <row r="384" spans="2:3" x14ac:dyDescent="0.25">
      <c r="B384" s="39"/>
      <c r="C384" s="38"/>
    </row>
    <row r="385" spans="2:3" x14ac:dyDescent="0.25">
      <c r="B385" s="39"/>
      <c r="C385" s="38"/>
    </row>
    <row r="386" spans="2:3" x14ac:dyDescent="0.25">
      <c r="B386" s="39"/>
      <c r="C386" s="38"/>
    </row>
    <row r="387" spans="2:3" x14ac:dyDescent="0.25">
      <c r="B387" s="39"/>
      <c r="C387" s="38"/>
    </row>
    <row r="388" spans="2:3" x14ac:dyDescent="0.25">
      <c r="B388" s="39"/>
      <c r="C388" s="38"/>
    </row>
    <row r="389" spans="2:3" x14ac:dyDescent="0.25">
      <c r="B389" s="39"/>
      <c r="C389" s="38"/>
    </row>
    <row r="390" spans="2:3" x14ac:dyDescent="0.25">
      <c r="B390" s="39"/>
      <c r="C390" s="38"/>
    </row>
    <row r="391" spans="2:3" x14ac:dyDescent="0.25">
      <c r="B391" s="39"/>
      <c r="C391" s="38"/>
    </row>
    <row r="392" spans="2:3" x14ac:dyDescent="0.25">
      <c r="B392" s="39"/>
      <c r="C392" s="38"/>
    </row>
    <row r="393" spans="2:3" x14ac:dyDescent="0.25">
      <c r="B393" s="39"/>
      <c r="C393" s="38"/>
    </row>
    <row r="394" spans="2:3" x14ac:dyDescent="0.25">
      <c r="B394" s="39"/>
      <c r="C394" s="38"/>
    </row>
    <row r="395" spans="2:3" x14ac:dyDescent="0.25">
      <c r="B395" s="39"/>
      <c r="C395" s="38"/>
    </row>
    <row r="396" spans="2:3" x14ac:dyDescent="0.25">
      <c r="B396" s="39"/>
      <c r="C396" s="38"/>
    </row>
    <row r="397" spans="2:3" x14ac:dyDescent="0.25">
      <c r="B397" s="39"/>
      <c r="C397" s="38"/>
    </row>
    <row r="398" spans="2:3" x14ac:dyDescent="0.25">
      <c r="B398" s="39"/>
      <c r="C398" s="38"/>
    </row>
    <row r="399" spans="2:3" x14ac:dyDescent="0.25">
      <c r="B399" s="39"/>
      <c r="C399" s="38"/>
    </row>
    <row r="400" spans="2:3" x14ac:dyDescent="0.25">
      <c r="B400" s="39"/>
      <c r="C400" s="38"/>
    </row>
    <row r="401" spans="2:3" x14ac:dyDescent="0.25">
      <c r="B401" s="39"/>
      <c r="C401" s="38"/>
    </row>
    <row r="402" spans="2:3" x14ac:dyDescent="0.25">
      <c r="B402" s="39"/>
      <c r="C402" s="38"/>
    </row>
    <row r="403" spans="2:3" x14ac:dyDescent="0.25">
      <c r="B403" s="39"/>
      <c r="C403" s="38"/>
    </row>
    <row r="404" spans="2:3" x14ac:dyDescent="0.25">
      <c r="B404" s="39"/>
      <c r="C404" s="38"/>
    </row>
    <row r="405" spans="2:3" x14ac:dyDescent="0.25">
      <c r="B405" s="39"/>
      <c r="C405" s="38"/>
    </row>
    <row r="406" spans="2:3" x14ac:dyDescent="0.25">
      <c r="B406" s="39"/>
      <c r="C406" s="38"/>
    </row>
    <row r="407" spans="2:3" x14ac:dyDescent="0.25">
      <c r="B407" s="39"/>
      <c r="C407" s="38"/>
    </row>
    <row r="408" spans="2:3" x14ac:dyDescent="0.25">
      <c r="B408" s="39"/>
      <c r="C408" s="38"/>
    </row>
    <row r="409" spans="2:3" x14ac:dyDescent="0.25">
      <c r="B409" s="39"/>
      <c r="C409" s="38"/>
    </row>
    <row r="410" spans="2:3" x14ac:dyDescent="0.25">
      <c r="B410" s="39"/>
      <c r="C410" s="38"/>
    </row>
    <row r="411" spans="2:3" x14ac:dyDescent="0.25">
      <c r="B411" s="39"/>
      <c r="C411" s="38"/>
    </row>
    <row r="412" spans="2:3" x14ac:dyDescent="0.25">
      <c r="B412" s="39"/>
      <c r="C412" s="38"/>
    </row>
    <row r="413" spans="2:3" x14ac:dyDescent="0.25">
      <c r="B413" s="39"/>
      <c r="C413" s="38"/>
    </row>
    <row r="414" spans="2:3" x14ac:dyDescent="0.25">
      <c r="B414" s="39"/>
      <c r="C414" s="38"/>
    </row>
    <row r="415" spans="2:3" x14ac:dyDescent="0.25">
      <c r="B415" s="39"/>
      <c r="C415" s="38"/>
    </row>
    <row r="416" spans="2:3" x14ac:dyDescent="0.25">
      <c r="B416" s="39"/>
      <c r="C416" s="38"/>
    </row>
    <row r="417" spans="2:3" x14ac:dyDescent="0.25">
      <c r="B417" s="39"/>
      <c r="C417" s="38"/>
    </row>
    <row r="418" spans="2:3" x14ac:dyDescent="0.25">
      <c r="B418" s="39"/>
      <c r="C418" s="38"/>
    </row>
    <row r="419" spans="2:3" x14ac:dyDescent="0.25">
      <c r="B419" s="39"/>
      <c r="C419" s="38"/>
    </row>
    <row r="420" spans="2:3" x14ac:dyDescent="0.25">
      <c r="B420" s="39"/>
      <c r="C420" s="38"/>
    </row>
    <row r="421" spans="2:3" x14ac:dyDescent="0.25">
      <c r="B421" s="39"/>
      <c r="C421" s="38"/>
    </row>
    <row r="422" spans="2:3" x14ac:dyDescent="0.25">
      <c r="B422" s="39"/>
      <c r="C422" s="38"/>
    </row>
    <row r="423" spans="2:3" x14ac:dyDescent="0.25">
      <c r="B423" s="39"/>
      <c r="C423" s="38"/>
    </row>
    <row r="424" spans="2:3" x14ac:dyDescent="0.25">
      <c r="B424" s="39"/>
      <c r="C424" s="38"/>
    </row>
    <row r="425" spans="2:3" x14ac:dyDescent="0.25">
      <c r="B425" s="39"/>
      <c r="C425" s="38"/>
    </row>
    <row r="426" spans="2:3" x14ac:dyDescent="0.25">
      <c r="B426" s="39"/>
      <c r="C426" s="38"/>
    </row>
    <row r="427" spans="2:3" x14ac:dyDescent="0.25">
      <c r="B427" s="39"/>
      <c r="C427" s="38"/>
    </row>
    <row r="428" spans="2:3" x14ac:dyDescent="0.25">
      <c r="B428" s="39"/>
      <c r="C428" s="38"/>
    </row>
    <row r="429" spans="2:3" x14ac:dyDescent="0.25">
      <c r="B429" s="39"/>
      <c r="C429" s="38"/>
    </row>
    <row r="430" spans="2:3" x14ac:dyDescent="0.25">
      <c r="B430" s="39"/>
      <c r="C430" s="38"/>
    </row>
    <row r="431" spans="2:3" x14ac:dyDescent="0.25">
      <c r="B431" s="39"/>
      <c r="C431" s="38"/>
    </row>
    <row r="432" spans="2:3" x14ac:dyDescent="0.25">
      <c r="B432" s="39"/>
      <c r="C432" s="38"/>
    </row>
    <row r="433" spans="2:3" x14ac:dyDescent="0.25">
      <c r="B433" s="39"/>
      <c r="C433" s="38"/>
    </row>
    <row r="434" spans="2:3" x14ac:dyDescent="0.25">
      <c r="B434" s="39"/>
      <c r="C434" s="38"/>
    </row>
    <row r="435" spans="2:3" x14ac:dyDescent="0.25">
      <c r="B435" s="39"/>
      <c r="C435" s="38"/>
    </row>
    <row r="436" spans="2:3" x14ac:dyDescent="0.25">
      <c r="B436" s="39"/>
      <c r="C436" s="38"/>
    </row>
    <row r="437" spans="2:3" x14ac:dyDescent="0.25">
      <c r="B437" s="39"/>
      <c r="C437" s="38"/>
    </row>
    <row r="438" spans="2:3" x14ac:dyDescent="0.25">
      <c r="B438" s="39"/>
      <c r="C438" s="38"/>
    </row>
    <row r="439" spans="2:3" x14ac:dyDescent="0.25">
      <c r="B439" s="39"/>
      <c r="C439" s="38"/>
    </row>
    <row r="440" spans="2:3" x14ac:dyDescent="0.25">
      <c r="B440" s="39"/>
      <c r="C440" s="38"/>
    </row>
    <row r="441" spans="2:3" x14ac:dyDescent="0.25">
      <c r="B441" s="39"/>
      <c r="C441" s="38"/>
    </row>
    <row r="442" spans="2:3" x14ac:dyDescent="0.25">
      <c r="B442" s="39"/>
      <c r="C442" s="38"/>
    </row>
    <row r="443" spans="2:3" x14ac:dyDescent="0.25">
      <c r="B443" s="39"/>
      <c r="C443" s="38"/>
    </row>
    <row r="444" spans="2:3" x14ac:dyDescent="0.25">
      <c r="B444" s="39"/>
      <c r="C444" s="38"/>
    </row>
    <row r="445" spans="2:3" x14ac:dyDescent="0.25">
      <c r="B445" s="39"/>
      <c r="C445" s="38"/>
    </row>
    <row r="446" spans="2:3" x14ac:dyDescent="0.25">
      <c r="B446" s="39"/>
      <c r="C446" s="38"/>
    </row>
    <row r="447" spans="2:3" x14ac:dyDescent="0.25">
      <c r="B447" s="39"/>
      <c r="C447" s="38"/>
    </row>
    <row r="448" spans="2:3" x14ac:dyDescent="0.25">
      <c r="B448" s="39"/>
      <c r="C448" s="38"/>
    </row>
    <row r="449" spans="2:3" x14ac:dyDescent="0.25">
      <c r="B449" s="39"/>
      <c r="C449" s="38"/>
    </row>
    <row r="450" spans="2:3" x14ac:dyDescent="0.25">
      <c r="B450" s="39"/>
      <c r="C450" s="38"/>
    </row>
    <row r="451" spans="2:3" x14ac:dyDescent="0.25">
      <c r="B451" s="39"/>
      <c r="C451" s="38"/>
    </row>
    <row r="452" spans="2:3" x14ac:dyDescent="0.25">
      <c r="B452" s="39"/>
      <c r="C452" s="38"/>
    </row>
    <row r="453" spans="2:3" x14ac:dyDescent="0.25">
      <c r="B453" s="39"/>
      <c r="C453" s="38"/>
    </row>
    <row r="454" spans="2:3" x14ac:dyDescent="0.25">
      <c r="B454" s="39"/>
      <c r="C454" s="38"/>
    </row>
    <row r="455" spans="2:3" x14ac:dyDescent="0.25">
      <c r="B455" s="39"/>
      <c r="C455" s="38"/>
    </row>
    <row r="456" spans="2:3" x14ac:dyDescent="0.25">
      <c r="B456" s="39"/>
      <c r="C456" s="38"/>
    </row>
    <row r="457" spans="2:3" x14ac:dyDescent="0.25">
      <c r="B457" s="39"/>
      <c r="C457" s="38"/>
    </row>
    <row r="458" spans="2:3" x14ac:dyDescent="0.25">
      <c r="B458" s="39"/>
      <c r="C458" s="38"/>
    </row>
    <row r="459" spans="2:3" x14ac:dyDescent="0.25">
      <c r="B459" s="39"/>
      <c r="C459" s="38"/>
    </row>
    <row r="460" spans="2:3" x14ac:dyDescent="0.25">
      <c r="B460" s="39"/>
      <c r="C460" s="38"/>
    </row>
    <row r="461" spans="2:3" x14ac:dyDescent="0.25">
      <c r="B461" s="39"/>
      <c r="C461" s="38"/>
    </row>
    <row r="462" spans="2:3" x14ac:dyDescent="0.25">
      <c r="B462" s="39"/>
      <c r="C462" s="38"/>
    </row>
    <row r="463" spans="2:3" x14ac:dyDescent="0.25">
      <c r="B463" s="39"/>
      <c r="C463" s="38"/>
    </row>
    <row r="464" spans="2:3" x14ac:dyDescent="0.25">
      <c r="B464" s="39"/>
      <c r="C464" s="38"/>
    </row>
    <row r="465" spans="2:3" x14ac:dyDescent="0.25">
      <c r="B465" s="39"/>
      <c r="C465" s="38"/>
    </row>
    <row r="466" spans="2:3" x14ac:dyDescent="0.25">
      <c r="B466" s="39"/>
      <c r="C466" s="38"/>
    </row>
    <row r="467" spans="2:3" x14ac:dyDescent="0.25">
      <c r="B467" s="39"/>
      <c r="C467" s="38"/>
    </row>
    <row r="468" spans="2:3" x14ac:dyDescent="0.25">
      <c r="B468" s="39"/>
      <c r="C468" s="38"/>
    </row>
    <row r="469" spans="2:3" x14ac:dyDescent="0.25">
      <c r="B469" s="39"/>
      <c r="C469" s="38"/>
    </row>
    <row r="470" spans="2:3" x14ac:dyDescent="0.25">
      <c r="B470" s="39"/>
      <c r="C470" s="38"/>
    </row>
    <row r="471" spans="2:3" x14ac:dyDescent="0.25">
      <c r="B471" s="39"/>
      <c r="C471" s="38"/>
    </row>
    <row r="472" spans="2:3" x14ac:dyDescent="0.25">
      <c r="B472" s="39"/>
      <c r="C472" s="38"/>
    </row>
    <row r="473" spans="2:3" x14ac:dyDescent="0.25">
      <c r="B473" s="39"/>
      <c r="C473" s="38"/>
    </row>
    <row r="474" spans="2:3" x14ac:dyDescent="0.25">
      <c r="B474" s="39"/>
      <c r="C474" s="38"/>
    </row>
    <row r="475" spans="2:3" x14ac:dyDescent="0.25">
      <c r="B475" s="39"/>
      <c r="C475" s="38"/>
    </row>
    <row r="476" spans="2:3" x14ac:dyDescent="0.25">
      <c r="B476" s="39"/>
      <c r="C476" s="38"/>
    </row>
    <row r="477" spans="2:3" x14ac:dyDescent="0.25">
      <c r="B477" s="39"/>
      <c r="C477" s="38"/>
    </row>
    <row r="478" spans="2:3" x14ac:dyDescent="0.25">
      <c r="B478" s="39"/>
      <c r="C478" s="38"/>
    </row>
    <row r="479" spans="2:3" x14ac:dyDescent="0.25">
      <c r="B479" s="39"/>
      <c r="C479" s="38"/>
    </row>
    <row r="480" spans="2:3" x14ac:dyDescent="0.25">
      <c r="B480" s="39"/>
      <c r="C480" s="38"/>
    </row>
    <row r="481" spans="2:3" x14ac:dyDescent="0.25">
      <c r="B481" s="39"/>
      <c r="C481" s="38"/>
    </row>
    <row r="482" spans="2:3" x14ac:dyDescent="0.25">
      <c r="B482" s="39"/>
      <c r="C482" s="38"/>
    </row>
    <row r="483" spans="2:3" x14ac:dyDescent="0.25">
      <c r="B483" s="39"/>
      <c r="C483" s="38"/>
    </row>
    <row r="484" spans="2:3" x14ac:dyDescent="0.25">
      <c r="B484" s="39"/>
      <c r="C484" s="38"/>
    </row>
    <row r="485" spans="2:3" x14ac:dyDescent="0.25">
      <c r="B485" s="39"/>
      <c r="C485" s="38"/>
    </row>
    <row r="486" spans="2:3" x14ac:dyDescent="0.25">
      <c r="B486" s="39"/>
      <c r="C486" s="38"/>
    </row>
    <row r="487" spans="2:3" x14ac:dyDescent="0.25">
      <c r="B487" s="39"/>
      <c r="C487" s="38"/>
    </row>
    <row r="488" spans="2:3" x14ac:dyDescent="0.25">
      <c r="B488" s="39"/>
      <c r="C488" s="38"/>
    </row>
    <row r="489" spans="2:3" x14ac:dyDescent="0.25">
      <c r="B489" s="39"/>
      <c r="C489" s="38"/>
    </row>
    <row r="490" spans="2:3" x14ac:dyDescent="0.25">
      <c r="B490" s="39"/>
      <c r="C490" s="38"/>
    </row>
    <row r="491" spans="2:3" x14ac:dyDescent="0.25">
      <c r="B491" s="39"/>
      <c r="C491" s="38"/>
    </row>
    <row r="492" spans="2:3" x14ac:dyDescent="0.25">
      <c r="B492" s="39"/>
      <c r="C492" s="38"/>
    </row>
    <row r="493" spans="2:3" x14ac:dyDescent="0.25">
      <c r="B493" s="39"/>
      <c r="C493" s="38"/>
    </row>
    <row r="494" spans="2:3" x14ac:dyDescent="0.25">
      <c r="B494" s="39"/>
      <c r="C494" s="38"/>
    </row>
    <row r="495" spans="2:3" x14ac:dyDescent="0.25">
      <c r="B495" s="39"/>
      <c r="C495" s="38"/>
    </row>
    <row r="496" spans="2:3" x14ac:dyDescent="0.25">
      <c r="B496" s="39"/>
      <c r="C496" s="38"/>
    </row>
    <row r="497" spans="2:3" x14ac:dyDescent="0.25">
      <c r="B497" s="39"/>
      <c r="C497" s="38"/>
    </row>
    <row r="498" spans="2:3" x14ac:dyDescent="0.25">
      <c r="B498" s="39"/>
      <c r="C498" s="38"/>
    </row>
    <row r="499" spans="2:3" x14ac:dyDescent="0.25">
      <c r="B499" s="39"/>
      <c r="C499" s="38"/>
    </row>
    <row r="500" spans="2:3" x14ac:dyDescent="0.25">
      <c r="B500" s="39"/>
      <c r="C500" s="38"/>
    </row>
    <row r="501" spans="2:3" x14ac:dyDescent="0.25">
      <c r="B501" s="39"/>
      <c r="C501" s="38"/>
    </row>
    <row r="502" spans="2:3" x14ac:dyDescent="0.25">
      <c r="B502" s="39"/>
      <c r="C502" s="38"/>
    </row>
    <row r="503" spans="2:3" x14ac:dyDescent="0.25">
      <c r="B503" s="39"/>
      <c r="C503" s="38"/>
    </row>
    <row r="504" spans="2:3" x14ac:dyDescent="0.25">
      <c r="B504" s="39"/>
      <c r="C504" s="38"/>
    </row>
    <row r="505" spans="2:3" x14ac:dyDescent="0.25">
      <c r="B505" s="39"/>
      <c r="C505" s="38"/>
    </row>
    <row r="506" spans="2:3" x14ac:dyDescent="0.25">
      <c r="B506" s="39"/>
      <c r="C506" s="38"/>
    </row>
    <row r="507" spans="2:3" x14ac:dyDescent="0.25">
      <c r="B507" s="39"/>
      <c r="C507" s="38"/>
    </row>
    <row r="508" spans="2:3" x14ac:dyDescent="0.25">
      <c r="B508" s="39"/>
      <c r="C508" s="38"/>
    </row>
    <row r="509" spans="2:3" x14ac:dyDescent="0.25">
      <c r="B509" s="39"/>
      <c r="C509" s="38"/>
    </row>
    <row r="510" spans="2:3" x14ac:dyDescent="0.25">
      <c r="B510" s="39"/>
      <c r="C510" s="38"/>
    </row>
    <row r="511" spans="2:3" x14ac:dyDescent="0.25">
      <c r="B511" s="39"/>
      <c r="C511" s="38"/>
    </row>
    <row r="512" spans="2:3" x14ac:dyDescent="0.25">
      <c r="B512" s="39"/>
      <c r="C512" s="38"/>
    </row>
    <row r="513" spans="2:3" x14ac:dyDescent="0.25">
      <c r="B513" s="39"/>
      <c r="C513" s="38"/>
    </row>
    <row r="514" spans="2:3" x14ac:dyDescent="0.25">
      <c r="B514" s="39"/>
      <c r="C514" s="38"/>
    </row>
    <row r="515" spans="2:3" x14ac:dyDescent="0.25">
      <c r="B515" s="39"/>
      <c r="C515" s="38"/>
    </row>
    <row r="516" spans="2:3" x14ac:dyDescent="0.25">
      <c r="B516" s="39"/>
      <c r="C516" s="38"/>
    </row>
    <row r="517" spans="2:3" x14ac:dyDescent="0.25">
      <c r="B517" s="39"/>
      <c r="C517" s="38"/>
    </row>
    <row r="518" spans="2:3" x14ac:dyDescent="0.25">
      <c r="B518" s="39"/>
      <c r="C518" s="38"/>
    </row>
    <row r="519" spans="2:3" x14ac:dyDescent="0.25">
      <c r="B519" s="39"/>
      <c r="C519" s="38"/>
    </row>
    <row r="520" spans="2:3" x14ac:dyDescent="0.25">
      <c r="B520" s="39"/>
      <c r="C520" s="38"/>
    </row>
    <row r="521" spans="2:3" x14ac:dyDescent="0.25">
      <c r="B521" s="39"/>
      <c r="C521" s="38"/>
    </row>
    <row r="522" spans="2:3" x14ac:dyDescent="0.25">
      <c r="B522" s="39"/>
      <c r="C522" s="38"/>
    </row>
    <row r="523" spans="2:3" x14ac:dyDescent="0.25">
      <c r="B523" s="39"/>
      <c r="C523" s="38"/>
    </row>
    <row r="524" spans="2:3" x14ac:dyDescent="0.25">
      <c r="B524" s="39"/>
      <c r="C524" s="38"/>
    </row>
    <row r="525" spans="2:3" x14ac:dyDescent="0.25">
      <c r="B525" s="39"/>
      <c r="C525" s="38"/>
    </row>
    <row r="526" spans="2:3" x14ac:dyDescent="0.25">
      <c r="B526" s="39"/>
      <c r="C526" s="38"/>
    </row>
    <row r="527" spans="2:3" x14ac:dyDescent="0.25">
      <c r="B527" s="39"/>
      <c r="C527" s="38"/>
    </row>
    <row r="528" spans="2:3" x14ac:dyDescent="0.25">
      <c r="B528" s="39"/>
      <c r="C528" s="38"/>
    </row>
    <row r="529" spans="2:3" x14ac:dyDescent="0.25">
      <c r="B529" s="39"/>
      <c r="C529" s="38"/>
    </row>
    <row r="530" spans="2:3" x14ac:dyDescent="0.25">
      <c r="B530" s="39"/>
      <c r="C530" s="38"/>
    </row>
    <row r="531" spans="2:3" x14ac:dyDescent="0.25">
      <c r="B531" s="39"/>
      <c r="C531" s="38"/>
    </row>
    <row r="532" spans="2:3" x14ac:dyDescent="0.25">
      <c r="B532" s="39"/>
      <c r="C532" s="38"/>
    </row>
    <row r="533" spans="2:3" x14ac:dyDescent="0.25">
      <c r="B533" s="39"/>
      <c r="C533" s="38"/>
    </row>
    <row r="534" spans="2:3" x14ac:dyDescent="0.25">
      <c r="B534" s="39"/>
      <c r="C534" s="38"/>
    </row>
    <row r="535" spans="2:3" x14ac:dyDescent="0.25">
      <c r="B535" s="39"/>
      <c r="C535" s="38"/>
    </row>
    <row r="536" spans="2:3" x14ac:dyDescent="0.25">
      <c r="B536" s="39"/>
      <c r="C536" s="38"/>
    </row>
    <row r="537" spans="2:3" x14ac:dyDescent="0.25">
      <c r="B537" s="39"/>
      <c r="C537" s="38"/>
    </row>
    <row r="538" spans="2:3" x14ac:dyDescent="0.25">
      <c r="B538" s="39"/>
      <c r="C538" s="38"/>
    </row>
    <row r="539" spans="2:3" x14ac:dyDescent="0.25">
      <c r="B539" s="39"/>
      <c r="C539" s="38"/>
    </row>
    <row r="540" spans="2:3" x14ac:dyDescent="0.25">
      <c r="B540" s="39"/>
      <c r="C540" s="38"/>
    </row>
    <row r="541" spans="2:3" x14ac:dyDescent="0.25">
      <c r="B541" s="39"/>
      <c r="C541" s="38"/>
    </row>
    <row r="542" spans="2:3" x14ac:dyDescent="0.25">
      <c r="B542" s="39"/>
      <c r="C542" s="38"/>
    </row>
    <row r="543" spans="2:3" x14ac:dyDescent="0.25">
      <c r="B543" s="39"/>
      <c r="C543" s="38"/>
    </row>
    <row r="544" spans="2:3" x14ac:dyDescent="0.25">
      <c r="B544" s="39"/>
      <c r="C544" s="38"/>
    </row>
    <row r="545" spans="2:3" x14ac:dyDescent="0.25">
      <c r="B545" s="39"/>
      <c r="C545" s="38"/>
    </row>
    <row r="546" spans="2:3" x14ac:dyDescent="0.25">
      <c r="B546" s="39"/>
      <c r="C546" s="38"/>
    </row>
    <row r="547" spans="2:3" x14ac:dyDescent="0.25">
      <c r="B547" s="39"/>
      <c r="C547" s="38"/>
    </row>
    <row r="548" spans="2:3" x14ac:dyDescent="0.25">
      <c r="B548" s="39"/>
      <c r="C548" s="38"/>
    </row>
    <row r="549" spans="2:3" x14ac:dyDescent="0.25">
      <c r="B549" s="39"/>
      <c r="C549" s="38"/>
    </row>
    <row r="550" spans="2:3" x14ac:dyDescent="0.25">
      <c r="B550" s="39"/>
      <c r="C550" s="38"/>
    </row>
    <row r="551" spans="2:3" x14ac:dyDescent="0.25">
      <c r="B551" s="39"/>
      <c r="C551" s="38"/>
    </row>
    <row r="552" spans="2:3" x14ac:dyDescent="0.25">
      <c r="B552" s="39"/>
      <c r="C552" s="38"/>
    </row>
    <row r="553" spans="2:3" x14ac:dyDescent="0.25">
      <c r="B553" s="39"/>
      <c r="C553" s="38"/>
    </row>
    <row r="554" spans="2:3" x14ac:dyDescent="0.25">
      <c r="B554" s="39"/>
      <c r="C554" s="38"/>
    </row>
    <row r="555" spans="2:3" x14ac:dyDescent="0.25">
      <c r="B555" s="39"/>
      <c r="C555" s="38"/>
    </row>
    <row r="556" spans="2:3" x14ac:dyDescent="0.25">
      <c r="B556" s="39"/>
      <c r="C556" s="38"/>
    </row>
    <row r="557" spans="2:3" x14ac:dyDescent="0.25">
      <c r="B557" s="39"/>
      <c r="C557" s="38"/>
    </row>
    <row r="558" spans="2:3" x14ac:dyDescent="0.25">
      <c r="B558" s="39"/>
      <c r="C558" s="38"/>
    </row>
    <row r="559" spans="2:3" x14ac:dyDescent="0.25">
      <c r="B559" s="39"/>
      <c r="C559" s="38"/>
    </row>
    <row r="560" spans="2:3" x14ac:dyDescent="0.25">
      <c r="B560" s="39"/>
      <c r="C560" s="38"/>
    </row>
    <row r="561" spans="2:3" x14ac:dyDescent="0.25">
      <c r="B561" s="39"/>
      <c r="C561" s="38"/>
    </row>
    <row r="562" spans="2:3" x14ac:dyDescent="0.25">
      <c r="B562" s="39"/>
      <c r="C562" s="38"/>
    </row>
    <row r="563" spans="2:3" x14ac:dyDescent="0.25">
      <c r="B563" s="39"/>
      <c r="C563" s="38"/>
    </row>
    <row r="564" spans="2:3" x14ac:dyDescent="0.25">
      <c r="B564" s="39"/>
      <c r="C564" s="38"/>
    </row>
    <row r="565" spans="2:3" x14ac:dyDescent="0.25">
      <c r="B565" s="39"/>
      <c r="C565" s="38"/>
    </row>
    <row r="566" spans="2:3" x14ac:dyDescent="0.25">
      <c r="B566" s="39"/>
      <c r="C566" s="38"/>
    </row>
    <row r="567" spans="2:3" x14ac:dyDescent="0.25">
      <c r="B567" s="39"/>
      <c r="C567" s="38"/>
    </row>
    <row r="568" spans="2:3" x14ac:dyDescent="0.25">
      <c r="B568" s="39"/>
      <c r="C568" s="38"/>
    </row>
    <row r="569" spans="2:3" x14ac:dyDescent="0.25">
      <c r="B569" s="39"/>
      <c r="C569" s="38"/>
    </row>
    <row r="570" spans="2:3" x14ac:dyDescent="0.25">
      <c r="B570" s="39"/>
      <c r="C570" s="38"/>
    </row>
    <row r="571" spans="2:3" x14ac:dyDescent="0.25">
      <c r="B571" s="39"/>
      <c r="C571" s="38"/>
    </row>
    <row r="572" spans="2:3" x14ac:dyDescent="0.25">
      <c r="B572" s="39"/>
      <c r="C572" s="38"/>
    </row>
    <row r="573" spans="2:3" x14ac:dyDescent="0.25">
      <c r="B573" s="39"/>
      <c r="C573" s="38"/>
    </row>
    <row r="574" spans="2:3" x14ac:dyDescent="0.25">
      <c r="B574" s="39"/>
      <c r="C574" s="38"/>
    </row>
    <row r="575" spans="2:3" x14ac:dyDescent="0.25">
      <c r="B575" s="39"/>
      <c r="C575" s="38"/>
    </row>
    <row r="576" spans="2:3" x14ac:dyDescent="0.25">
      <c r="B576" s="39"/>
      <c r="C576" s="38"/>
    </row>
    <row r="577" spans="2:3" x14ac:dyDescent="0.25">
      <c r="B577" s="39"/>
      <c r="C577" s="38"/>
    </row>
    <row r="578" spans="2:3" x14ac:dyDescent="0.25">
      <c r="B578" s="39"/>
      <c r="C578" s="38"/>
    </row>
    <row r="579" spans="2:3" x14ac:dyDescent="0.25">
      <c r="B579" s="39"/>
      <c r="C579" s="38"/>
    </row>
    <row r="580" spans="2:3" x14ac:dyDescent="0.25">
      <c r="B580" s="39"/>
      <c r="C580" s="38"/>
    </row>
    <row r="581" spans="2:3" x14ac:dyDescent="0.25">
      <c r="B581" s="39"/>
      <c r="C581" s="38"/>
    </row>
    <row r="582" spans="2:3" x14ac:dyDescent="0.25">
      <c r="B582" s="39"/>
      <c r="C582" s="38"/>
    </row>
    <row r="583" spans="2:3" x14ac:dyDescent="0.25">
      <c r="B583" s="39"/>
      <c r="C583" s="38"/>
    </row>
    <row r="584" spans="2:3" x14ac:dyDescent="0.25">
      <c r="B584" s="39"/>
      <c r="C584" s="38"/>
    </row>
    <row r="585" spans="2:3" x14ac:dyDescent="0.25">
      <c r="B585" s="39"/>
      <c r="C585" s="38"/>
    </row>
    <row r="586" spans="2:3" x14ac:dyDescent="0.25">
      <c r="B586" s="39"/>
      <c r="C586" s="38"/>
    </row>
    <row r="587" spans="2:3" x14ac:dyDescent="0.25">
      <c r="B587" s="39"/>
      <c r="C587" s="38"/>
    </row>
    <row r="588" spans="2:3" x14ac:dyDescent="0.25">
      <c r="B588" s="39"/>
      <c r="C588" s="38"/>
    </row>
    <row r="589" spans="2:3" x14ac:dyDescent="0.25">
      <c r="B589" s="39"/>
      <c r="C589" s="38"/>
    </row>
    <row r="590" spans="2:3" x14ac:dyDescent="0.25">
      <c r="B590" s="39"/>
      <c r="C590" s="38"/>
    </row>
    <row r="591" spans="2:3" x14ac:dyDescent="0.25">
      <c r="B591" s="39"/>
      <c r="C591" s="38"/>
    </row>
    <row r="592" spans="2:3" x14ac:dyDescent="0.25">
      <c r="B592" s="39"/>
      <c r="C592" s="38"/>
    </row>
    <row r="593" spans="2:3" x14ac:dyDescent="0.25">
      <c r="B593" s="39"/>
      <c r="C593" s="38"/>
    </row>
    <row r="594" spans="2:3" x14ac:dyDescent="0.25">
      <c r="B594" s="39"/>
      <c r="C594" s="38"/>
    </row>
    <row r="595" spans="2:3" x14ac:dyDescent="0.25">
      <c r="B595" s="39"/>
      <c r="C595" s="38"/>
    </row>
    <row r="596" spans="2:3" x14ac:dyDescent="0.25">
      <c r="B596" s="39"/>
      <c r="C596" s="38"/>
    </row>
    <row r="597" spans="2:3" x14ac:dyDescent="0.25">
      <c r="B597" s="39"/>
      <c r="C597" s="38"/>
    </row>
    <row r="598" spans="2:3" x14ac:dyDescent="0.25">
      <c r="B598" s="39"/>
      <c r="C598" s="38"/>
    </row>
    <row r="599" spans="2:3" x14ac:dyDescent="0.25">
      <c r="B599" s="39"/>
      <c r="C599" s="38"/>
    </row>
    <row r="600" spans="2:3" x14ac:dyDescent="0.25">
      <c r="B600" s="39"/>
      <c r="C600" s="38"/>
    </row>
    <row r="601" spans="2:3" x14ac:dyDescent="0.25">
      <c r="B601" s="39"/>
      <c r="C601" s="38"/>
    </row>
    <row r="602" spans="2:3" x14ac:dyDescent="0.25">
      <c r="B602" s="39"/>
      <c r="C602" s="38"/>
    </row>
    <row r="603" spans="2:3" x14ac:dyDescent="0.25">
      <c r="B603" s="39"/>
      <c r="C603" s="38"/>
    </row>
    <row r="604" spans="2:3" x14ac:dyDescent="0.25">
      <c r="B604" s="39"/>
      <c r="C604" s="38"/>
    </row>
    <row r="605" spans="2:3" x14ac:dyDescent="0.25">
      <c r="B605" s="39"/>
      <c r="C605" s="38"/>
    </row>
    <row r="606" spans="2:3" x14ac:dyDescent="0.25">
      <c r="B606" s="39"/>
      <c r="C606" s="38"/>
    </row>
    <row r="607" spans="2:3" x14ac:dyDescent="0.25">
      <c r="B607" s="39"/>
      <c r="C607" s="38"/>
    </row>
    <row r="608" spans="2:3" x14ac:dyDescent="0.25">
      <c r="B608" s="39"/>
      <c r="C608" s="38"/>
    </row>
    <row r="609" spans="2:3" x14ac:dyDescent="0.25">
      <c r="B609" s="39"/>
      <c r="C609" s="38"/>
    </row>
    <row r="610" spans="2:3" x14ac:dyDescent="0.25">
      <c r="B610" s="39"/>
      <c r="C610" s="38"/>
    </row>
    <row r="611" spans="2:3" x14ac:dyDescent="0.25">
      <c r="B611" s="39"/>
      <c r="C611" s="38"/>
    </row>
    <row r="612" spans="2:3" x14ac:dyDescent="0.25">
      <c r="B612" s="39"/>
      <c r="C612" s="38"/>
    </row>
    <row r="613" spans="2:3" x14ac:dyDescent="0.25">
      <c r="B613" s="39"/>
      <c r="C613" s="38"/>
    </row>
    <row r="614" spans="2:3" x14ac:dyDescent="0.25">
      <c r="B614" s="39"/>
      <c r="C614" s="38"/>
    </row>
    <row r="615" spans="2:3" x14ac:dyDescent="0.25">
      <c r="B615" s="39"/>
      <c r="C615" s="38"/>
    </row>
    <row r="616" spans="2:3" x14ac:dyDescent="0.25">
      <c r="B616" s="39"/>
      <c r="C616" s="38"/>
    </row>
    <row r="617" spans="2:3" x14ac:dyDescent="0.25">
      <c r="B617" s="39"/>
      <c r="C617" s="38"/>
    </row>
    <row r="618" spans="2:3" x14ac:dyDescent="0.25">
      <c r="B618" s="39"/>
      <c r="C618" s="38"/>
    </row>
    <row r="619" spans="2:3" x14ac:dyDescent="0.25">
      <c r="B619" s="39"/>
      <c r="C619" s="38"/>
    </row>
    <row r="620" spans="2:3" x14ac:dyDescent="0.25">
      <c r="B620" s="39"/>
      <c r="C620" s="38"/>
    </row>
    <row r="621" spans="2:3" x14ac:dyDescent="0.25">
      <c r="B621" s="39"/>
      <c r="C621" s="38"/>
    </row>
    <row r="622" spans="2:3" x14ac:dyDescent="0.25">
      <c r="B622" s="39"/>
      <c r="C622" s="38"/>
    </row>
    <row r="623" spans="2:3" x14ac:dyDescent="0.25">
      <c r="B623" s="39"/>
      <c r="C623" s="38"/>
    </row>
    <row r="624" spans="2:3" x14ac:dyDescent="0.25">
      <c r="B624" s="39"/>
      <c r="C624" s="38"/>
    </row>
    <row r="625" spans="2:3" x14ac:dyDescent="0.25">
      <c r="B625" s="39"/>
      <c r="C625" s="38"/>
    </row>
    <row r="626" spans="2:3" x14ac:dyDescent="0.25">
      <c r="B626" s="39"/>
      <c r="C626" s="38"/>
    </row>
    <row r="627" spans="2:3" x14ac:dyDescent="0.25">
      <c r="B627" s="39"/>
      <c r="C627" s="38"/>
    </row>
    <row r="628" spans="2:3" x14ac:dyDescent="0.25">
      <c r="B628" s="39"/>
      <c r="C628" s="38"/>
    </row>
    <row r="629" spans="2:3" x14ac:dyDescent="0.25">
      <c r="B629" s="39"/>
      <c r="C629" s="38"/>
    </row>
    <row r="630" spans="2:3" x14ac:dyDescent="0.25">
      <c r="B630" s="39"/>
      <c r="C630" s="38"/>
    </row>
    <row r="631" spans="2:3" x14ac:dyDescent="0.25">
      <c r="B631" s="39"/>
      <c r="C631" s="38"/>
    </row>
    <row r="632" spans="2:3" x14ac:dyDescent="0.25">
      <c r="B632" s="39"/>
      <c r="C632" s="38"/>
    </row>
    <row r="633" spans="2:3" x14ac:dyDescent="0.25">
      <c r="B633" s="39"/>
      <c r="C633" s="38"/>
    </row>
    <row r="634" spans="2:3" x14ac:dyDescent="0.25">
      <c r="B634" s="39"/>
      <c r="C634" s="38"/>
    </row>
    <row r="635" spans="2:3" x14ac:dyDescent="0.25">
      <c r="B635" s="39"/>
      <c r="C635" s="38"/>
    </row>
    <row r="636" spans="2:3" x14ac:dyDescent="0.25">
      <c r="B636" s="39"/>
      <c r="C636" s="38"/>
    </row>
    <row r="637" spans="2:3" x14ac:dyDescent="0.25">
      <c r="B637" s="39"/>
      <c r="C637" s="38"/>
    </row>
    <row r="638" spans="2:3" x14ac:dyDescent="0.25">
      <c r="B638" s="39"/>
      <c r="C638" s="38"/>
    </row>
    <row r="639" spans="2:3" x14ac:dyDescent="0.25">
      <c r="B639" s="39"/>
      <c r="C639" s="38"/>
    </row>
    <row r="640" spans="2:3" x14ac:dyDescent="0.25">
      <c r="B640" s="39"/>
      <c r="C640" s="38"/>
    </row>
    <row r="641" spans="2:3" x14ac:dyDescent="0.25">
      <c r="B641" s="39"/>
      <c r="C641" s="38"/>
    </row>
    <row r="642" spans="2:3" x14ac:dyDescent="0.25">
      <c r="B642" s="39"/>
      <c r="C642" s="38"/>
    </row>
    <row r="643" spans="2:3" x14ac:dyDescent="0.25">
      <c r="B643" s="39"/>
      <c r="C643" s="38"/>
    </row>
    <row r="644" spans="2:3" x14ac:dyDescent="0.25">
      <c r="B644" s="39"/>
      <c r="C644" s="38"/>
    </row>
    <row r="645" spans="2:3" x14ac:dyDescent="0.25">
      <c r="B645" s="39"/>
      <c r="C645" s="38"/>
    </row>
    <row r="646" spans="2:3" x14ac:dyDescent="0.25">
      <c r="B646" s="39"/>
      <c r="C646" s="38"/>
    </row>
    <row r="647" spans="2:3" x14ac:dyDescent="0.25">
      <c r="B647" s="39"/>
      <c r="C647" s="38"/>
    </row>
    <row r="648" spans="2:3" x14ac:dyDescent="0.25">
      <c r="B648" s="39"/>
      <c r="C648" s="38"/>
    </row>
    <row r="649" spans="2:3" x14ac:dyDescent="0.25">
      <c r="B649" s="39"/>
      <c r="C649" s="38"/>
    </row>
    <row r="650" spans="2:3" x14ac:dyDescent="0.25">
      <c r="B650" s="39"/>
      <c r="C650" s="38"/>
    </row>
    <row r="651" spans="2:3" x14ac:dyDescent="0.25">
      <c r="B651" s="39"/>
      <c r="C651" s="38"/>
    </row>
    <row r="652" spans="2:3" x14ac:dyDescent="0.25">
      <c r="B652" s="39"/>
      <c r="C652" s="38"/>
    </row>
    <row r="653" spans="2:3" x14ac:dyDescent="0.25">
      <c r="B653" s="39"/>
      <c r="C653" s="38"/>
    </row>
    <row r="654" spans="2:3" x14ac:dyDescent="0.25">
      <c r="B654" s="39"/>
      <c r="C654" s="38"/>
    </row>
    <row r="655" spans="2:3" x14ac:dyDescent="0.25">
      <c r="B655" s="39"/>
      <c r="C655" s="38"/>
    </row>
    <row r="656" spans="2:3" x14ac:dyDescent="0.25">
      <c r="B656" s="39"/>
      <c r="C656" s="38"/>
    </row>
    <row r="657" spans="2:3" x14ac:dyDescent="0.25">
      <c r="B657" s="39"/>
      <c r="C657" s="38"/>
    </row>
    <row r="658" spans="2:3" x14ac:dyDescent="0.25">
      <c r="B658" s="39"/>
      <c r="C658" s="38"/>
    </row>
    <row r="659" spans="2:3" x14ac:dyDescent="0.25">
      <c r="B659" s="39"/>
      <c r="C659" s="38"/>
    </row>
    <row r="660" spans="2:3" x14ac:dyDescent="0.25">
      <c r="B660" s="39"/>
      <c r="C660" s="38"/>
    </row>
    <row r="661" spans="2:3" x14ac:dyDescent="0.25">
      <c r="B661" s="39"/>
      <c r="C661" s="38"/>
    </row>
    <row r="662" spans="2:3" x14ac:dyDescent="0.25">
      <c r="B662" s="39"/>
      <c r="C662" s="38"/>
    </row>
    <row r="663" spans="2:3" x14ac:dyDescent="0.25">
      <c r="B663" s="39"/>
      <c r="C663" s="38"/>
    </row>
    <row r="664" spans="2:3" x14ac:dyDescent="0.25">
      <c r="B664" s="39"/>
      <c r="C664" s="38"/>
    </row>
    <row r="665" spans="2:3" x14ac:dyDescent="0.25">
      <c r="B665" s="39"/>
      <c r="C665" s="38"/>
    </row>
    <row r="666" spans="2:3" x14ac:dyDescent="0.25">
      <c r="B666" s="39"/>
      <c r="C666" s="38"/>
    </row>
    <row r="667" spans="2:3" x14ac:dyDescent="0.25">
      <c r="B667" s="39"/>
      <c r="C667" s="38"/>
    </row>
    <row r="668" spans="2:3" x14ac:dyDescent="0.25">
      <c r="B668" s="39"/>
      <c r="C668" s="38"/>
    </row>
    <row r="669" spans="2:3" x14ac:dyDescent="0.25">
      <c r="B669" s="39"/>
      <c r="C669" s="38"/>
    </row>
    <row r="670" spans="2:3" x14ac:dyDescent="0.25">
      <c r="B670" s="39"/>
      <c r="C670" s="38"/>
    </row>
    <row r="671" spans="2:3" x14ac:dyDescent="0.25">
      <c r="B671" s="39"/>
      <c r="C671" s="38"/>
    </row>
    <row r="672" spans="2:3" x14ac:dyDescent="0.25">
      <c r="B672" s="39"/>
      <c r="C672" s="38"/>
    </row>
    <row r="673" spans="2:3" x14ac:dyDescent="0.25">
      <c r="B673" s="39"/>
      <c r="C673" s="38"/>
    </row>
    <row r="674" spans="2:3" x14ac:dyDescent="0.25">
      <c r="B674" s="39"/>
      <c r="C674" s="38"/>
    </row>
    <row r="675" spans="2:3" x14ac:dyDescent="0.25">
      <c r="B675" s="39"/>
      <c r="C675" s="38"/>
    </row>
    <row r="676" spans="2:3" x14ac:dyDescent="0.25">
      <c r="B676" s="39"/>
      <c r="C676" s="38"/>
    </row>
    <row r="677" spans="2:3" x14ac:dyDescent="0.25">
      <c r="B677" s="39"/>
      <c r="C677" s="38"/>
    </row>
    <row r="678" spans="2:3" x14ac:dyDescent="0.25">
      <c r="B678" s="39"/>
      <c r="C678" s="38"/>
    </row>
    <row r="679" spans="2:3" x14ac:dyDescent="0.25">
      <c r="B679" s="39"/>
      <c r="C679" s="38"/>
    </row>
    <row r="680" spans="2:3" x14ac:dyDescent="0.25">
      <c r="B680" s="39"/>
      <c r="C680" s="38"/>
    </row>
    <row r="681" spans="2:3" x14ac:dyDescent="0.25">
      <c r="B681" s="39"/>
      <c r="C681" s="38"/>
    </row>
    <row r="682" spans="2:3" x14ac:dyDescent="0.25">
      <c r="B682" s="39"/>
      <c r="C682" s="38"/>
    </row>
    <row r="683" spans="2:3" x14ac:dyDescent="0.25">
      <c r="B683" s="39"/>
      <c r="C683" s="38"/>
    </row>
    <row r="684" spans="2:3" x14ac:dyDescent="0.25">
      <c r="B684" s="39"/>
      <c r="C684" s="38"/>
    </row>
    <row r="685" spans="2:3" x14ac:dyDescent="0.25">
      <c r="B685" s="39"/>
      <c r="C685" s="38"/>
    </row>
    <row r="686" spans="2:3" x14ac:dyDescent="0.25">
      <c r="B686" s="39"/>
      <c r="C686" s="38"/>
    </row>
    <row r="687" spans="2:3" x14ac:dyDescent="0.25">
      <c r="B687" s="39"/>
      <c r="C687" s="38"/>
    </row>
    <row r="688" spans="2:3" x14ac:dyDescent="0.25">
      <c r="B688" s="39"/>
      <c r="C688" s="38"/>
    </row>
    <row r="689" spans="2:3" x14ac:dyDescent="0.25">
      <c r="B689" s="39"/>
      <c r="C689" s="38"/>
    </row>
    <row r="690" spans="2:3" x14ac:dyDescent="0.25">
      <c r="B690" s="39"/>
      <c r="C690" s="38"/>
    </row>
    <row r="691" spans="2:3" x14ac:dyDescent="0.25">
      <c r="B691" s="39"/>
      <c r="C691" s="38"/>
    </row>
    <row r="692" spans="2:3" x14ac:dyDescent="0.25">
      <c r="B692" s="39"/>
      <c r="C692" s="38"/>
    </row>
    <row r="693" spans="2:3" x14ac:dyDescent="0.25">
      <c r="B693" s="39"/>
      <c r="C693" s="38"/>
    </row>
    <row r="694" spans="2:3" x14ac:dyDescent="0.25">
      <c r="B694" s="39"/>
      <c r="C694" s="38"/>
    </row>
    <row r="695" spans="2:3" x14ac:dyDescent="0.25">
      <c r="B695" s="39"/>
      <c r="C695" s="38"/>
    </row>
    <row r="696" spans="2:3" x14ac:dyDescent="0.25">
      <c r="B696" s="39"/>
      <c r="C696" s="38"/>
    </row>
    <row r="697" spans="2:3" x14ac:dyDescent="0.25">
      <c r="B697" s="39"/>
      <c r="C697" s="38"/>
    </row>
    <row r="698" spans="2:3" x14ac:dyDescent="0.25">
      <c r="B698" s="39"/>
      <c r="C698" s="38"/>
    </row>
    <row r="699" spans="2:3" x14ac:dyDescent="0.25">
      <c r="B699" s="39"/>
      <c r="C699" s="38"/>
    </row>
    <row r="700" spans="2:3" x14ac:dyDescent="0.25">
      <c r="B700" s="39"/>
      <c r="C700" s="38"/>
    </row>
    <row r="701" spans="2:3" x14ac:dyDescent="0.25">
      <c r="B701" s="39"/>
      <c r="C701" s="38"/>
    </row>
    <row r="702" spans="2:3" x14ac:dyDescent="0.25">
      <c r="B702" s="39"/>
      <c r="C702" s="38"/>
    </row>
    <row r="703" spans="2:3" x14ac:dyDescent="0.25">
      <c r="B703" s="39"/>
      <c r="C703" s="38"/>
    </row>
    <row r="704" spans="2:3" x14ac:dyDescent="0.25">
      <c r="B704" s="39"/>
      <c r="C704" s="38"/>
    </row>
    <row r="705" spans="2:3" x14ac:dyDescent="0.25">
      <c r="B705" s="39"/>
      <c r="C705" s="38"/>
    </row>
    <row r="706" spans="2:3" x14ac:dyDescent="0.25">
      <c r="B706" s="39"/>
      <c r="C706" s="38"/>
    </row>
    <row r="707" spans="2:3" x14ac:dyDescent="0.25">
      <c r="B707" s="39"/>
      <c r="C707" s="38"/>
    </row>
    <row r="708" spans="2:3" x14ac:dyDescent="0.25">
      <c r="B708" s="39"/>
      <c r="C708" s="38"/>
    </row>
    <row r="709" spans="2:3" x14ac:dyDescent="0.25">
      <c r="B709" s="39"/>
      <c r="C709" s="38"/>
    </row>
    <row r="710" spans="2:3" x14ac:dyDescent="0.25">
      <c r="B710" s="39"/>
      <c r="C710" s="38"/>
    </row>
    <row r="711" spans="2:3" x14ac:dyDescent="0.25">
      <c r="B711" s="39"/>
      <c r="C711" s="38"/>
    </row>
    <row r="712" spans="2:3" x14ac:dyDescent="0.25">
      <c r="B712" s="39"/>
      <c r="C712" s="38"/>
    </row>
    <row r="713" spans="2:3" x14ac:dyDescent="0.25">
      <c r="B713" s="39"/>
      <c r="C713" s="38"/>
    </row>
    <row r="714" spans="2:3" x14ac:dyDescent="0.25">
      <c r="B714" s="39"/>
      <c r="C714" s="38"/>
    </row>
    <row r="715" spans="2:3" x14ac:dyDescent="0.25">
      <c r="B715" s="39"/>
      <c r="C715" s="38"/>
    </row>
    <row r="716" spans="2:3" x14ac:dyDescent="0.25">
      <c r="B716" s="39"/>
      <c r="C716" s="38"/>
    </row>
    <row r="717" spans="2:3" x14ac:dyDescent="0.25">
      <c r="B717" s="39"/>
      <c r="C717" s="38"/>
    </row>
    <row r="718" spans="2:3" x14ac:dyDescent="0.25">
      <c r="B718" s="39"/>
      <c r="C718" s="38"/>
    </row>
    <row r="719" spans="2:3" x14ac:dyDescent="0.25">
      <c r="B719" s="39"/>
      <c r="C719" s="38"/>
    </row>
    <row r="720" spans="2:3" x14ac:dyDescent="0.25">
      <c r="B720" s="39"/>
      <c r="C720" s="38"/>
    </row>
    <row r="721" spans="2:3" x14ac:dyDescent="0.25">
      <c r="B721" s="39"/>
      <c r="C721" s="38"/>
    </row>
    <row r="722" spans="2:3" x14ac:dyDescent="0.25">
      <c r="B722" s="39"/>
      <c r="C722" s="38"/>
    </row>
    <row r="723" spans="2:3" x14ac:dyDescent="0.25">
      <c r="B723" s="39"/>
      <c r="C723" s="38"/>
    </row>
    <row r="724" spans="2:3" x14ac:dyDescent="0.25">
      <c r="B724" s="39"/>
      <c r="C724" s="38"/>
    </row>
    <row r="725" spans="2:3" x14ac:dyDescent="0.25">
      <c r="B725" s="39"/>
      <c r="C725" s="38"/>
    </row>
    <row r="726" spans="2:3" x14ac:dyDescent="0.25">
      <c r="B726" s="39"/>
      <c r="C726" s="38"/>
    </row>
    <row r="727" spans="2:3" x14ac:dyDescent="0.25">
      <c r="B727" s="39"/>
      <c r="C727" s="38"/>
    </row>
    <row r="728" spans="2:3" x14ac:dyDescent="0.25">
      <c r="B728" s="39"/>
      <c r="C728" s="38"/>
    </row>
    <row r="729" spans="2:3" x14ac:dyDescent="0.25">
      <c r="B729" s="39"/>
      <c r="C729" s="38"/>
    </row>
    <row r="730" spans="2:3" x14ac:dyDescent="0.25">
      <c r="B730" s="39"/>
      <c r="C730" s="38"/>
    </row>
    <row r="731" spans="2:3" x14ac:dyDescent="0.25">
      <c r="B731" s="39"/>
      <c r="C731" s="38"/>
    </row>
    <row r="732" spans="2:3" x14ac:dyDescent="0.25">
      <c r="B732" s="39"/>
      <c r="C732" s="38"/>
    </row>
    <row r="733" spans="2:3" x14ac:dyDescent="0.25">
      <c r="B733" s="39"/>
      <c r="C733" s="38"/>
    </row>
    <row r="734" spans="2:3" x14ac:dyDescent="0.25">
      <c r="B734" s="39"/>
      <c r="C734" s="38"/>
    </row>
    <row r="735" spans="2:3" x14ac:dyDescent="0.25">
      <c r="B735" s="39"/>
      <c r="C735" s="38"/>
    </row>
    <row r="736" spans="2:3" x14ac:dyDescent="0.25">
      <c r="B736" s="39"/>
      <c r="C736" s="38"/>
    </row>
    <row r="737" spans="2:3" x14ac:dyDescent="0.25">
      <c r="B737" s="39"/>
      <c r="C737" s="38"/>
    </row>
    <row r="738" spans="2:3" x14ac:dyDescent="0.25">
      <c r="B738" s="39"/>
      <c r="C738" s="38"/>
    </row>
    <row r="739" spans="2:3" x14ac:dyDescent="0.25">
      <c r="B739" s="39"/>
      <c r="C739" s="38"/>
    </row>
    <row r="740" spans="2:3" x14ac:dyDescent="0.25">
      <c r="B740" s="39"/>
      <c r="C740" s="38"/>
    </row>
    <row r="741" spans="2:3" x14ac:dyDescent="0.25">
      <c r="B741" s="39"/>
      <c r="C741" s="38"/>
    </row>
    <row r="742" spans="2:3" x14ac:dyDescent="0.25">
      <c r="B742" s="39"/>
      <c r="C742" s="38"/>
    </row>
    <row r="743" spans="2:3" x14ac:dyDescent="0.25">
      <c r="B743" s="39"/>
      <c r="C743" s="38"/>
    </row>
    <row r="744" spans="2:3" x14ac:dyDescent="0.25">
      <c r="B744" s="39"/>
      <c r="C744" s="38"/>
    </row>
    <row r="745" spans="2:3" x14ac:dyDescent="0.25">
      <c r="B745" s="39"/>
      <c r="C745" s="38"/>
    </row>
    <row r="746" spans="2:3" x14ac:dyDescent="0.25">
      <c r="B746" s="39"/>
      <c r="C746" s="38"/>
    </row>
    <row r="747" spans="2:3" x14ac:dyDescent="0.25">
      <c r="B747" s="39"/>
      <c r="C747" s="38"/>
    </row>
    <row r="748" spans="2:3" x14ac:dyDescent="0.25">
      <c r="B748" s="39"/>
      <c r="C748" s="38"/>
    </row>
    <row r="749" spans="2:3" x14ac:dyDescent="0.25">
      <c r="B749" s="39"/>
      <c r="C749" s="38"/>
    </row>
    <row r="750" spans="2:3" x14ac:dyDescent="0.25">
      <c r="B750" s="39"/>
      <c r="C750" s="38"/>
    </row>
    <row r="751" spans="2:3" x14ac:dyDescent="0.25">
      <c r="B751" s="39"/>
      <c r="C751" s="38"/>
    </row>
    <row r="752" spans="2:3" x14ac:dyDescent="0.25">
      <c r="B752" s="39"/>
    </row>
    <row r="753" spans="2:2" x14ac:dyDescent="0.25">
      <c r="B753" s="39"/>
    </row>
    <row r="754" spans="2:2" x14ac:dyDescent="0.25">
      <c r="B754" s="39"/>
    </row>
    <row r="755" spans="2:2" x14ac:dyDescent="0.25">
      <c r="B755" s="39"/>
    </row>
    <row r="756" spans="2:2" x14ac:dyDescent="0.25">
      <c r="B756" s="39"/>
    </row>
    <row r="757" spans="2:2" x14ac:dyDescent="0.25">
      <c r="B757" s="39"/>
    </row>
  </sheetData>
  <autoFilter ref="A1:D242"/>
  <conditionalFormatting sqref="B2:B4 B6:B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79</v>
      </c>
      <c r="B1" s="18" t="s">
        <v>318</v>
      </c>
    </row>
    <row r="2" spans="1:2" ht="48" x14ac:dyDescent="0.25">
      <c r="A2" s="40" t="s">
        <v>297</v>
      </c>
      <c r="B2" s="37" t="s">
        <v>319</v>
      </c>
    </row>
    <row r="3" spans="1:2" x14ac:dyDescent="0.25">
      <c r="A3" s="40" t="s">
        <v>298</v>
      </c>
      <c r="B3" s="40" t="s">
        <v>321</v>
      </c>
    </row>
    <row r="4" spans="1:2" x14ac:dyDescent="0.25">
      <c r="A4" s="40" t="s">
        <v>803</v>
      </c>
      <c r="B4" s="40" t="s">
        <v>320</v>
      </c>
    </row>
    <row r="5" spans="1:2" x14ac:dyDescent="0.25">
      <c r="A5" s="40" t="s">
        <v>85</v>
      </c>
      <c r="B5" s="29"/>
    </row>
    <row r="6" spans="1:2" x14ac:dyDescent="0.25">
      <c r="A6" s="40" t="s">
        <v>84</v>
      </c>
      <c r="B6" s="29"/>
    </row>
    <row r="7" spans="1:2" x14ac:dyDescent="0.25">
      <c r="A7" s="40" t="s">
        <v>805</v>
      </c>
      <c r="B7" s="29"/>
    </row>
    <row r="8" spans="1:2" x14ac:dyDescent="0.25">
      <c r="A8" s="40" t="s">
        <v>302</v>
      </c>
      <c r="B8" s="29"/>
    </row>
    <row r="9" spans="1:2" x14ac:dyDescent="0.25">
      <c r="A9" s="40" t="s">
        <v>299</v>
      </c>
      <c r="B9" s="29"/>
    </row>
    <row r="10" spans="1:2" x14ac:dyDescent="0.25">
      <c r="A10" s="40" t="s">
        <v>300</v>
      </c>
      <c r="B10" s="29"/>
    </row>
    <row r="11" spans="1:2" x14ac:dyDescent="0.25">
      <c r="A11" s="40" t="s">
        <v>301</v>
      </c>
      <c r="B11" s="29"/>
    </row>
    <row r="12" spans="1:2" x14ac:dyDescent="0.25">
      <c r="A12" s="40" t="s">
        <v>804</v>
      </c>
      <c r="B12" s="29"/>
    </row>
    <row r="13" spans="1:2" x14ac:dyDescent="0.25">
      <c r="A13" s="40" t="s">
        <v>802</v>
      </c>
      <c r="B13" s="29"/>
    </row>
    <row r="14" spans="1:2" x14ac:dyDescent="0.25">
      <c r="A14" s="40" t="s">
        <v>305</v>
      </c>
      <c r="B14" s="29"/>
    </row>
    <row r="15" spans="1:2" x14ac:dyDescent="0.25">
      <c r="A15" s="40" t="s">
        <v>304</v>
      </c>
      <c r="B15" s="29"/>
    </row>
    <row r="16" spans="1:2" x14ac:dyDescent="0.25">
      <c r="A16" s="40" t="s">
        <v>306</v>
      </c>
      <c r="B16" s="29"/>
    </row>
    <row r="17" spans="1:2" x14ac:dyDescent="0.25">
      <c r="A17" s="40" t="s">
        <v>307</v>
      </c>
      <c r="B17" s="29"/>
    </row>
    <row r="18" spans="1:2" x14ac:dyDescent="0.25">
      <c r="A18" s="40" t="s">
        <v>308</v>
      </c>
      <c r="B18" s="29"/>
    </row>
    <row r="19" spans="1:2" x14ac:dyDescent="0.25">
      <c r="A19" s="40" t="s">
        <v>303</v>
      </c>
      <c r="B19" s="29"/>
    </row>
    <row r="20" spans="1:2" x14ac:dyDescent="0.25">
      <c r="A20" s="40" t="s">
        <v>806</v>
      </c>
      <c r="B20" s="29"/>
    </row>
    <row r="21" spans="1:2" x14ac:dyDescent="0.25">
      <c r="A21" s="40" t="s">
        <v>82</v>
      </c>
      <c r="B21" s="29"/>
    </row>
    <row r="22" spans="1:2" x14ac:dyDescent="0.25">
      <c r="A22" s="40" t="s">
        <v>80</v>
      </c>
      <c r="B22" s="29"/>
    </row>
    <row r="23" spans="1:2" x14ac:dyDescent="0.25">
      <c r="A23" s="40" t="s">
        <v>81</v>
      </c>
      <c r="B23" s="29"/>
    </row>
    <row r="24" spans="1:2" x14ac:dyDescent="0.25">
      <c r="A24" s="40" t="s">
        <v>83</v>
      </c>
      <c r="B24" s="29"/>
    </row>
    <row r="25" spans="1:2" x14ac:dyDescent="0.25">
      <c r="A25" s="40" t="s">
        <v>801</v>
      </c>
      <c r="B25" s="29"/>
    </row>
    <row r="26" spans="1:2" x14ac:dyDescent="0.25">
      <c r="A26" s="40" t="s">
        <v>296</v>
      </c>
      <c r="B26" s="29"/>
    </row>
    <row r="27" spans="1:2" x14ac:dyDescent="0.25">
      <c r="A27" s="40" t="s">
        <v>295</v>
      </c>
      <c r="B27" s="29"/>
    </row>
    <row r="28" spans="1:2" x14ac:dyDescent="0.25">
      <c r="A28" s="40" t="s">
        <v>315</v>
      </c>
      <c r="B28" s="29"/>
    </row>
    <row r="29" spans="1:2" x14ac:dyDescent="0.25">
      <c r="A29" s="40" t="s">
        <v>309</v>
      </c>
      <c r="B29" s="29"/>
    </row>
    <row r="30" spans="1:2" x14ac:dyDescent="0.25">
      <c r="A30" s="40" t="s">
        <v>311</v>
      </c>
      <c r="B30" s="29"/>
    </row>
    <row r="31" spans="1:2" x14ac:dyDescent="0.25">
      <c r="A31" s="40" t="s">
        <v>316</v>
      </c>
      <c r="B31" s="29"/>
    </row>
    <row r="32" spans="1:2" x14ac:dyDescent="0.25">
      <c r="A32" s="40" t="s">
        <v>310</v>
      </c>
      <c r="B32" s="29"/>
    </row>
    <row r="33" spans="1:2" x14ac:dyDescent="0.25">
      <c r="A33" s="40" t="s">
        <v>312</v>
      </c>
      <c r="B33" s="29"/>
    </row>
    <row r="34" spans="1:2" x14ac:dyDescent="0.25">
      <c r="A34" s="40" t="s">
        <v>314</v>
      </c>
      <c r="B34" s="29"/>
    </row>
    <row r="35" spans="1:2" x14ac:dyDescent="0.25">
      <c r="A35" s="40" t="s">
        <v>313</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8"/>
  <sheetViews>
    <sheetView topLeftCell="A194" workbookViewId="0">
      <selection activeCell="I204" sqref="I204"/>
    </sheetView>
  </sheetViews>
  <sheetFormatPr baseColWidth="10" defaultRowHeight="15" x14ac:dyDescent="0.25"/>
  <cols>
    <col min="1" max="1" width="30.85546875" bestFit="1" customWidth="1"/>
    <col min="2" max="2" width="19" customWidth="1"/>
  </cols>
  <sheetData>
    <row r="1" spans="1:2" x14ac:dyDescent="0.25">
      <c r="A1" s="18" t="s">
        <v>376</v>
      </c>
      <c r="B1" s="18" t="s">
        <v>377</v>
      </c>
    </row>
    <row r="2" spans="1:2" x14ac:dyDescent="0.25">
      <c r="A2" s="41" t="s">
        <v>378</v>
      </c>
      <c r="B2" s="42">
        <v>43502638</v>
      </c>
    </row>
    <row r="3" spans="1:2" x14ac:dyDescent="0.25">
      <c r="A3" s="41" t="s">
        <v>379</v>
      </c>
      <c r="B3" s="42">
        <v>43651295</v>
      </c>
    </row>
    <row r="4" spans="1:2" x14ac:dyDescent="0.25">
      <c r="A4" s="41" t="s">
        <v>380</v>
      </c>
      <c r="B4" s="42">
        <v>42897640</v>
      </c>
    </row>
    <row r="5" spans="1:2" x14ac:dyDescent="0.25">
      <c r="A5" s="41" t="s">
        <v>381</v>
      </c>
      <c r="B5" s="42">
        <v>70084346</v>
      </c>
    </row>
    <row r="6" spans="1:2" x14ac:dyDescent="0.25">
      <c r="A6" s="41" t="s">
        <v>382</v>
      </c>
      <c r="B6" s="43" t="s">
        <v>559</v>
      </c>
    </row>
    <row r="7" spans="1:2" x14ac:dyDescent="0.25">
      <c r="A7" s="41" t="s">
        <v>383</v>
      </c>
      <c r="B7" s="42">
        <v>71612027</v>
      </c>
    </row>
    <row r="8" spans="1:2" x14ac:dyDescent="0.25">
      <c r="A8" s="41" t="s">
        <v>384</v>
      </c>
      <c r="B8" s="42">
        <v>3396537</v>
      </c>
    </row>
    <row r="9" spans="1:2" x14ac:dyDescent="0.25">
      <c r="A9" s="41" t="s">
        <v>385</v>
      </c>
      <c r="B9" s="42">
        <v>71337736</v>
      </c>
    </row>
    <row r="10" spans="1:2" x14ac:dyDescent="0.25">
      <c r="A10" s="41" t="s">
        <v>386</v>
      </c>
      <c r="B10" s="42">
        <v>71752561</v>
      </c>
    </row>
    <row r="11" spans="1:2" x14ac:dyDescent="0.25">
      <c r="A11" s="41" t="s">
        <v>387</v>
      </c>
      <c r="B11" s="42">
        <v>15349797</v>
      </c>
    </row>
    <row r="12" spans="1:2" x14ac:dyDescent="0.25">
      <c r="A12" s="41" t="s">
        <v>388</v>
      </c>
      <c r="B12" s="42">
        <v>43522706</v>
      </c>
    </row>
    <row r="13" spans="1:2" x14ac:dyDescent="0.25">
      <c r="A13" s="41" t="s">
        <v>389</v>
      </c>
      <c r="B13" s="42">
        <v>8287418</v>
      </c>
    </row>
    <row r="14" spans="1:2" x14ac:dyDescent="0.25">
      <c r="A14" s="41" t="s">
        <v>390</v>
      </c>
      <c r="B14" s="42">
        <v>42887817</v>
      </c>
    </row>
    <row r="15" spans="1:2" x14ac:dyDescent="0.25">
      <c r="A15" s="41" t="s">
        <v>391</v>
      </c>
      <c r="B15" s="42">
        <v>42883734</v>
      </c>
    </row>
    <row r="16" spans="1:2" x14ac:dyDescent="0.25">
      <c r="A16" s="41" t="s">
        <v>392</v>
      </c>
      <c r="B16" s="42">
        <v>43621952</v>
      </c>
    </row>
    <row r="17" spans="1:2" x14ac:dyDescent="0.25">
      <c r="A17" s="41" t="s">
        <v>393</v>
      </c>
      <c r="B17" s="42">
        <v>43025797</v>
      </c>
    </row>
    <row r="18" spans="1:2" x14ac:dyDescent="0.25">
      <c r="A18" s="41" t="s">
        <v>394</v>
      </c>
      <c r="B18" s="42">
        <v>43189871</v>
      </c>
    </row>
    <row r="19" spans="1:2" x14ac:dyDescent="0.25">
      <c r="A19" s="41" t="s">
        <v>395</v>
      </c>
      <c r="B19" s="42">
        <v>71603452</v>
      </c>
    </row>
    <row r="20" spans="1:2" x14ac:dyDescent="0.25">
      <c r="A20" s="41" t="s">
        <v>396</v>
      </c>
      <c r="B20" s="42">
        <v>71739737</v>
      </c>
    </row>
    <row r="21" spans="1:2" x14ac:dyDescent="0.25">
      <c r="A21" s="41" t="s">
        <v>397</v>
      </c>
      <c r="B21" s="42">
        <v>98671608</v>
      </c>
    </row>
    <row r="22" spans="1:2" x14ac:dyDescent="0.25">
      <c r="A22" s="41" t="s">
        <v>398</v>
      </c>
      <c r="B22" s="42">
        <v>42871672</v>
      </c>
    </row>
    <row r="23" spans="1:2" x14ac:dyDescent="0.25">
      <c r="A23" s="41" t="s">
        <v>399</v>
      </c>
      <c r="B23" s="42">
        <v>71991542</v>
      </c>
    </row>
    <row r="24" spans="1:2" x14ac:dyDescent="0.25">
      <c r="A24" s="41" t="s">
        <v>400</v>
      </c>
      <c r="B24" s="42">
        <v>43062616</v>
      </c>
    </row>
    <row r="25" spans="1:2" x14ac:dyDescent="0.25">
      <c r="A25" s="41" t="s">
        <v>401</v>
      </c>
      <c r="B25" s="42">
        <v>34529960</v>
      </c>
    </row>
    <row r="26" spans="1:2" x14ac:dyDescent="0.25">
      <c r="A26" s="41" t="s">
        <v>402</v>
      </c>
      <c r="B26" s="42">
        <v>42999723</v>
      </c>
    </row>
    <row r="27" spans="1:2" x14ac:dyDescent="0.25">
      <c r="A27" s="41" t="s">
        <v>403</v>
      </c>
      <c r="B27" s="42">
        <v>32429021</v>
      </c>
    </row>
    <row r="28" spans="1:2" x14ac:dyDescent="0.25">
      <c r="A28" s="41" t="s">
        <v>404</v>
      </c>
      <c r="B28" s="42" t="s">
        <v>405</v>
      </c>
    </row>
    <row r="29" spans="1:2" x14ac:dyDescent="0.25">
      <c r="A29" s="41" t="s">
        <v>406</v>
      </c>
      <c r="B29" s="42">
        <v>79262441</v>
      </c>
    </row>
    <row r="30" spans="1:2" x14ac:dyDescent="0.25">
      <c r="A30" s="41" t="s">
        <v>407</v>
      </c>
      <c r="B30" s="42">
        <v>70565696</v>
      </c>
    </row>
    <row r="31" spans="1:2" x14ac:dyDescent="0.25">
      <c r="A31" s="41" t="s">
        <v>408</v>
      </c>
      <c r="B31" s="42">
        <v>71955597</v>
      </c>
    </row>
    <row r="32" spans="1:2" x14ac:dyDescent="0.25">
      <c r="A32" s="41" t="s">
        <v>409</v>
      </c>
      <c r="B32" s="42">
        <v>73099259</v>
      </c>
    </row>
    <row r="33" spans="1:2" x14ac:dyDescent="0.25">
      <c r="A33" s="41" t="s">
        <v>410</v>
      </c>
      <c r="B33" s="42">
        <v>71596451</v>
      </c>
    </row>
    <row r="34" spans="1:2" x14ac:dyDescent="0.25">
      <c r="A34" s="41" t="s">
        <v>411</v>
      </c>
      <c r="B34" s="42">
        <v>51802180</v>
      </c>
    </row>
    <row r="35" spans="1:2" x14ac:dyDescent="0.25">
      <c r="A35" s="41" t="s">
        <v>412</v>
      </c>
      <c r="B35" s="42">
        <v>42072392</v>
      </c>
    </row>
    <row r="36" spans="1:2" x14ac:dyDescent="0.25">
      <c r="A36" s="41" t="s">
        <v>413</v>
      </c>
      <c r="B36" s="42">
        <v>52988305</v>
      </c>
    </row>
    <row r="37" spans="1:2" x14ac:dyDescent="0.25">
      <c r="A37" s="41" t="s">
        <v>414</v>
      </c>
      <c r="B37" s="42">
        <v>43974625</v>
      </c>
    </row>
    <row r="38" spans="1:2" x14ac:dyDescent="0.25">
      <c r="A38" s="41" t="s">
        <v>415</v>
      </c>
      <c r="B38" s="42">
        <v>65765794</v>
      </c>
    </row>
    <row r="39" spans="1:2" x14ac:dyDescent="0.25">
      <c r="A39" s="41" t="s">
        <v>416</v>
      </c>
      <c r="B39" s="42">
        <v>93369720</v>
      </c>
    </row>
    <row r="40" spans="1:2" x14ac:dyDescent="0.25">
      <c r="A40" s="41" t="s">
        <v>417</v>
      </c>
      <c r="B40" s="42">
        <v>79236164</v>
      </c>
    </row>
    <row r="41" spans="1:2" x14ac:dyDescent="0.25">
      <c r="A41" s="41" t="s">
        <v>418</v>
      </c>
      <c r="B41" s="42">
        <v>42875774</v>
      </c>
    </row>
    <row r="42" spans="1:2" x14ac:dyDescent="0.25">
      <c r="A42" s="41" t="s">
        <v>419</v>
      </c>
      <c r="B42" s="42">
        <v>60358066</v>
      </c>
    </row>
    <row r="43" spans="1:2" x14ac:dyDescent="0.25">
      <c r="A43" s="41" t="s">
        <v>420</v>
      </c>
      <c r="B43" s="42">
        <v>43577512</v>
      </c>
    </row>
    <row r="44" spans="1:2" x14ac:dyDescent="0.25">
      <c r="A44" s="41" t="s">
        <v>421</v>
      </c>
      <c r="B44" s="42">
        <v>1214717481</v>
      </c>
    </row>
    <row r="45" spans="1:2" x14ac:dyDescent="0.25">
      <c r="A45" s="41" t="s">
        <v>422</v>
      </c>
      <c r="B45" s="42" t="s">
        <v>423</v>
      </c>
    </row>
    <row r="46" spans="1:2" x14ac:dyDescent="0.25">
      <c r="A46" s="41" t="s">
        <v>424</v>
      </c>
      <c r="B46" s="42">
        <v>98704548</v>
      </c>
    </row>
    <row r="47" spans="1:2" x14ac:dyDescent="0.25">
      <c r="A47" s="41" t="s">
        <v>425</v>
      </c>
      <c r="B47" s="42">
        <v>7463551</v>
      </c>
    </row>
    <row r="48" spans="1:2" x14ac:dyDescent="0.25">
      <c r="A48" s="41" t="s">
        <v>426</v>
      </c>
      <c r="B48" s="42">
        <v>32295438</v>
      </c>
    </row>
    <row r="49" spans="1:2" x14ac:dyDescent="0.25">
      <c r="A49" s="41" t="s">
        <v>427</v>
      </c>
      <c r="B49" s="42">
        <v>43876824</v>
      </c>
    </row>
    <row r="50" spans="1:2" x14ac:dyDescent="0.25">
      <c r="A50" s="41" t="s">
        <v>428</v>
      </c>
      <c r="B50" s="42">
        <v>42690330</v>
      </c>
    </row>
    <row r="51" spans="1:2" x14ac:dyDescent="0.25">
      <c r="A51" s="41" t="s">
        <v>429</v>
      </c>
      <c r="B51" s="42">
        <v>39354942</v>
      </c>
    </row>
    <row r="52" spans="1:2" x14ac:dyDescent="0.25">
      <c r="A52" s="41" t="s">
        <v>430</v>
      </c>
      <c r="B52" s="42">
        <v>79653661</v>
      </c>
    </row>
    <row r="53" spans="1:2" x14ac:dyDescent="0.25">
      <c r="A53" s="41" t="s">
        <v>431</v>
      </c>
      <c r="B53" s="42">
        <v>98554575</v>
      </c>
    </row>
    <row r="54" spans="1:2" x14ac:dyDescent="0.25">
      <c r="A54" s="41" t="s">
        <v>432</v>
      </c>
      <c r="B54" s="42">
        <v>15385665</v>
      </c>
    </row>
    <row r="55" spans="1:2" x14ac:dyDescent="0.25">
      <c r="A55" s="41" t="s">
        <v>433</v>
      </c>
      <c r="B55" s="42">
        <v>43623353</v>
      </c>
    </row>
    <row r="56" spans="1:2" x14ac:dyDescent="0.25">
      <c r="A56" s="41" t="s">
        <v>816</v>
      </c>
      <c r="B56" s="42">
        <v>42898342</v>
      </c>
    </row>
    <row r="57" spans="1:2" x14ac:dyDescent="0.25">
      <c r="A57" s="41" t="s">
        <v>434</v>
      </c>
      <c r="B57" s="42">
        <v>43507828</v>
      </c>
    </row>
    <row r="58" spans="1:2" x14ac:dyDescent="0.25">
      <c r="A58" s="41" t="s">
        <v>435</v>
      </c>
      <c r="B58" s="42">
        <v>31261894</v>
      </c>
    </row>
    <row r="59" spans="1:2" x14ac:dyDescent="0.25">
      <c r="A59" s="41" t="s">
        <v>436</v>
      </c>
      <c r="B59" s="42">
        <v>15515584</v>
      </c>
    </row>
    <row r="60" spans="1:2" x14ac:dyDescent="0.25">
      <c r="A60" s="41" t="s">
        <v>437</v>
      </c>
      <c r="B60" s="42">
        <v>98664727</v>
      </c>
    </row>
    <row r="61" spans="1:2" x14ac:dyDescent="0.25">
      <c r="A61" s="41" t="s">
        <v>438</v>
      </c>
      <c r="B61" s="42">
        <v>71757640</v>
      </c>
    </row>
    <row r="62" spans="1:2" x14ac:dyDescent="0.25">
      <c r="A62" s="41" t="s">
        <v>439</v>
      </c>
      <c r="B62" s="42">
        <v>12971061</v>
      </c>
    </row>
    <row r="63" spans="1:2" x14ac:dyDescent="0.25">
      <c r="A63" s="41" t="s">
        <v>440</v>
      </c>
      <c r="B63" s="42">
        <v>76781560</v>
      </c>
    </row>
    <row r="64" spans="1:2" x14ac:dyDescent="0.25">
      <c r="A64" s="41" t="s">
        <v>441</v>
      </c>
      <c r="B64" s="42">
        <v>43279195</v>
      </c>
    </row>
    <row r="65" spans="1:2" x14ac:dyDescent="0.25">
      <c r="A65" s="41" t="s">
        <v>442</v>
      </c>
      <c r="B65" s="42">
        <v>98663399</v>
      </c>
    </row>
    <row r="66" spans="1:2" x14ac:dyDescent="0.25">
      <c r="A66" s="41" t="s">
        <v>443</v>
      </c>
      <c r="B66" s="42">
        <v>88213282</v>
      </c>
    </row>
    <row r="67" spans="1:2" x14ac:dyDescent="0.25">
      <c r="A67" s="41" t="s">
        <v>444</v>
      </c>
      <c r="B67" s="42">
        <v>43588021</v>
      </c>
    </row>
    <row r="68" spans="1:2" x14ac:dyDescent="0.25">
      <c r="A68" s="41" t="s">
        <v>445</v>
      </c>
      <c r="B68" s="42">
        <v>91247994</v>
      </c>
    </row>
    <row r="69" spans="1:2" x14ac:dyDescent="0.25">
      <c r="A69" s="41" t="s">
        <v>446</v>
      </c>
      <c r="B69" s="42" t="s">
        <v>447</v>
      </c>
    </row>
    <row r="70" spans="1:2" x14ac:dyDescent="0.25">
      <c r="A70" s="41" t="s">
        <v>448</v>
      </c>
      <c r="B70" s="42">
        <v>98546513</v>
      </c>
    </row>
    <row r="71" spans="1:2" x14ac:dyDescent="0.25">
      <c r="A71" s="41" t="s">
        <v>449</v>
      </c>
      <c r="B71" s="42">
        <v>74322987</v>
      </c>
    </row>
    <row r="72" spans="1:2" x14ac:dyDescent="0.25">
      <c r="A72" s="41" t="s">
        <v>450</v>
      </c>
      <c r="B72" s="42">
        <v>71706554</v>
      </c>
    </row>
    <row r="73" spans="1:2" x14ac:dyDescent="0.25">
      <c r="A73" s="41" t="s">
        <v>451</v>
      </c>
      <c r="B73" s="42">
        <v>70088083</v>
      </c>
    </row>
    <row r="74" spans="1:2" x14ac:dyDescent="0.25">
      <c r="A74" s="41" t="s">
        <v>452</v>
      </c>
      <c r="B74" s="42">
        <v>3352862</v>
      </c>
    </row>
    <row r="75" spans="1:2" x14ac:dyDescent="0.25">
      <c r="A75" s="41" t="s">
        <v>453</v>
      </c>
      <c r="B75" s="42">
        <v>15316872</v>
      </c>
    </row>
    <row r="76" spans="1:2" x14ac:dyDescent="0.25">
      <c r="A76" s="41" t="s">
        <v>454</v>
      </c>
      <c r="B76" s="42">
        <v>530144</v>
      </c>
    </row>
    <row r="77" spans="1:2" x14ac:dyDescent="0.25">
      <c r="A77" s="41" t="s">
        <v>455</v>
      </c>
      <c r="B77" s="42">
        <v>71396622</v>
      </c>
    </row>
    <row r="78" spans="1:2" x14ac:dyDescent="0.25">
      <c r="A78" s="41" t="s">
        <v>456</v>
      </c>
      <c r="B78" s="42">
        <v>8342412</v>
      </c>
    </row>
    <row r="79" spans="1:2" x14ac:dyDescent="0.25">
      <c r="A79" s="41" t="s">
        <v>457</v>
      </c>
      <c r="B79" s="42">
        <v>8311845</v>
      </c>
    </row>
    <row r="80" spans="1:2" x14ac:dyDescent="0.25">
      <c r="A80" s="41" t="s">
        <v>458</v>
      </c>
      <c r="B80" s="42">
        <v>71748199</v>
      </c>
    </row>
    <row r="81" spans="1:2" x14ac:dyDescent="0.25">
      <c r="A81" s="41" t="s">
        <v>459</v>
      </c>
      <c r="B81" s="43" t="s">
        <v>559</v>
      </c>
    </row>
    <row r="82" spans="1:2" x14ac:dyDescent="0.25">
      <c r="A82" s="41" t="s">
        <v>460</v>
      </c>
      <c r="B82" s="42">
        <v>39181036</v>
      </c>
    </row>
    <row r="83" spans="1:2" x14ac:dyDescent="0.25">
      <c r="A83" s="41" t="s">
        <v>461</v>
      </c>
      <c r="B83" s="42">
        <v>51983999</v>
      </c>
    </row>
    <row r="84" spans="1:2" x14ac:dyDescent="0.25">
      <c r="A84" s="41" t="s">
        <v>462</v>
      </c>
      <c r="B84" s="42">
        <v>29331701</v>
      </c>
    </row>
    <row r="85" spans="1:2" x14ac:dyDescent="0.25">
      <c r="A85" s="41" t="s">
        <v>463</v>
      </c>
      <c r="B85" s="42">
        <v>39167183</v>
      </c>
    </row>
    <row r="86" spans="1:2" x14ac:dyDescent="0.25">
      <c r="A86" s="41" t="s">
        <v>464</v>
      </c>
      <c r="B86" s="42">
        <v>43057165</v>
      </c>
    </row>
    <row r="87" spans="1:2" x14ac:dyDescent="0.25">
      <c r="A87" s="41" t="s">
        <v>465</v>
      </c>
      <c r="B87" s="42">
        <v>41925468</v>
      </c>
    </row>
    <row r="88" spans="1:2" x14ac:dyDescent="0.25">
      <c r="A88" s="41" t="s">
        <v>466</v>
      </c>
      <c r="B88" s="42">
        <v>19350413</v>
      </c>
    </row>
    <row r="89" spans="1:2" x14ac:dyDescent="0.25">
      <c r="A89" s="41" t="s">
        <v>467</v>
      </c>
      <c r="B89" s="42">
        <v>1128393225</v>
      </c>
    </row>
    <row r="90" spans="1:2" x14ac:dyDescent="0.25">
      <c r="A90" s="41" t="s">
        <v>468</v>
      </c>
      <c r="B90" s="42">
        <v>63508258</v>
      </c>
    </row>
    <row r="91" spans="1:2" x14ac:dyDescent="0.25">
      <c r="A91" s="41" t="s">
        <v>469</v>
      </c>
      <c r="B91" s="42">
        <v>71032491</v>
      </c>
    </row>
    <row r="92" spans="1:2" x14ac:dyDescent="0.25">
      <c r="A92" s="41" t="s">
        <v>470</v>
      </c>
      <c r="B92" s="42">
        <v>70047625</v>
      </c>
    </row>
    <row r="93" spans="1:2" x14ac:dyDescent="0.25">
      <c r="A93" s="41" t="s">
        <v>471</v>
      </c>
      <c r="B93" s="42">
        <v>71737460</v>
      </c>
    </row>
    <row r="94" spans="1:2" x14ac:dyDescent="0.25">
      <c r="A94" s="41" t="s">
        <v>472</v>
      </c>
      <c r="B94" s="42">
        <v>98523088</v>
      </c>
    </row>
    <row r="95" spans="1:2" x14ac:dyDescent="0.25">
      <c r="A95" s="41" t="s">
        <v>473</v>
      </c>
      <c r="B95" s="42">
        <v>70052102</v>
      </c>
    </row>
    <row r="96" spans="1:2" x14ac:dyDescent="0.25">
      <c r="A96" s="41" t="s">
        <v>474</v>
      </c>
      <c r="B96" s="42">
        <v>3352118</v>
      </c>
    </row>
    <row r="97" spans="1:2" x14ac:dyDescent="0.25">
      <c r="A97" s="41" t="s">
        <v>475</v>
      </c>
      <c r="B97" s="42">
        <v>8061064</v>
      </c>
    </row>
    <row r="98" spans="1:2" x14ac:dyDescent="0.25">
      <c r="A98" s="41" t="s">
        <v>476</v>
      </c>
      <c r="B98" s="42">
        <v>8284200</v>
      </c>
    </row>
    <row r="99" spans="1:2" x14ac:dyDescent="0.25">
      <c r="A99" s="41" t="s">
        <v>477</v>
      </c>
      <c r="B99" s="42">
        <v>309159</v>
      </c>
    </row>
    <row r="100" spans="1:2" x14ac:dyDescent="0.25">
      <c r="A100" s="41" t="s">
        <v>478</v>
      </c>
      <c r="B100" s="42">
        <v>72196999</v>
      </c>
    </row>
    <row r="101" spans="1:2" x14ac:dyDescent="0.25">
      <c r="A101" s="41" t="s">
        <v>479</v>
      </c>
      <c r="B101" s="42">
        <v>8292512</v>
      </c>
    </row>
    <row r="102" spans="1:2" x14ac:dyDescent="0.25">
      <c r="A102" s="41" t="s">
        <v>480</v>
      </c>
      <c r="B102" s="42">
        <v>71769124</v>
      </c>
    </row>
    <row r="103" spans="1:2" x14ac:dyDescent="0.25">
      <c r="A103" s="41" t="s">
        <v>481</v>
      </c>
      <c r="B103" s="42">
        <v>71598955</v>
      </c>
    </row>
    <row r="104" spans="1:2" x14ac:dyDescent="0.25">
      <c r="A104" s="41" t="s">
        <v>482</v>
      </c>
      <c r="B104" s="42">
        <v>16774154</v>
      </c>
    </row>
    <row r="105" spans="1:2" x14ac:dyDescent="0.25">
      <c r="A105" s="41" t="s">
        <v>483</v>
      </c>
      <c r="B105" s="42">
        <v>71718217</v>
      </c>
    </row>
    <row r="106" spans="1:2" x14ac:dyDescent="0.25">
      <c r="A106" s="41" t="s">
        <v>484</v>
      </c>
      <c r="B106" s="42">
        <v>98522591</v>
      </c>
    </row>
    <row r="107" spans="1:2" x14ac:dyDescent="0.25">
      <c r="A107" s="41" t="s">
        <v>485</v>
      </c>
      <c r="B107" s="42">
        <v>71738910</v>
      </c>
    </row>
    <row r="108" spans="1:2" x14ac:dyDescent="0.25">
      <c r="A108" s="41" t="s">
        <v>486</v>
      </c>
      <c r="B108" s="42">
        <v>8298535</v>
      </c>
    </row>
    <row r="109" spans="1:2" x14ac:dyDescent="0.25">
      <c r="A109" s="41" t="s">
        <v>487</v>
      </c>
      <c r="B109" s="42" t="s">
        <v>559</v>
      </c>
    </row>
    <row r="110" spans="1:2" x14ac:dyDescent="0.25">
      <c r="A110" s="41" t="s">
        <v>488</v>
      </c>
      <c r="B110" s="42">
        <v>79802985</v>
      </c>
    </row>
    <row r="111" spans="1:2" x14ac:dyDescent="0.25">
      <c r="A111" s="41" t="s">
        <v>489</v>
      </c>
      <c r="B111" s="43">
        <v>70129564</v>
      </c>
    </row>
    <row r="112" spans="1:2" x14ac:dyDescent="0.25">
      <c r="A112" s="41" t="s">
        <v>490</v>
      </c>
      <c r="B112" s="42">
        <v>313558</v>
      </c>
    </row>
    <row r="113" spans="1:2" x14ac:dyDescent="0.25">
      <c r="A113" s="41" t="s">
        <v>491</v>
      </c>
      <c r="B113" s="42">
        <v>388446</v>
      </c>
    </row>
    <row r="114" spans="1:2" x14ac:dyDescent="0.25">
      <c r="A114" s="41" t="s">
        <v>492</v>
      </c>
      <c r="B114" s="42">
        <v>98519294</v>
      </c>
    </row>
    <row r="115" spans="1:2" x14ac:dyDescent="0.25">
      <c r="A115" s="41" t="s">
        <v>493</v>
      </c>
      <c r="B115" s="42">
        <v>71658672</v>
      </c>
    </row>
    <row r="116" spans="1:2" x14ac:dyDescent="0.25">
      <c r="A116" s="41" t="s">
        <v>716</v>
      </c>
      <c r="B116" s="42">
        <v>98671489</v>
      </c>
    </row>
    <row r="117" spans="1:2" x14ac:dyDescent="0.25">
      <c r="A117" s="41" t="s">
        <v>494</v>
      </c>
      <c r="B117" s="42">
        <v>8125090</v>
      </c>
    </row>
    <row r="118" spans="1:2" x14ac:dyDescent="0.25">
      <c r="A118" s="41" t="s">
        <v>495</v>
      </c>
      <c r="B118" s="42">
        <v>7540911</v>
      </c>
    </row>
    <row r="119" spans="1:2" x14ac:dyDescent="0.25">
      <c r="A119" s="41" t="s">
        <v>496</v>
      </c>
      <c r="B119" s="42">
        <v>71659205</v>
      </c>
    </row>
    <row r="120" spans="1:2" x14ac:dyDescent="0.25">
      <c r="A120" s="41" t="s">
        <v>497</v>
      </c>
      <c r="B120" s="42">
        <v>15517825</v>
      </c>
    </row>
    <row r="121" spans="1:2" x14ac:dyDescent="0.25">
      <c r="A121" s="41" t="s">
        <v>498</v>
      </c>
      <c r="B121" s="42">
        <v>98622265</v>
      </c>
    </row>
    <row r="122" spans="1:2" x14ac:dyDescent="0.25">
      <c r="A122" s="41" t="s">
        <v>499</v>
      </c>
      <c r="B122" s="42">
        <v>98640721</v>
      </c>
    </row>
    <row r="123" spans="1:2" x14ac:dyDescent="0.25">
      <c r="A123" s="41" t="s">
        <v>500</v>
      </c>
      <c r="B123" s="42">
        <v>71779021</v>
      </c>
    </row>
    <row r="124" spans="1:2" x14ac:dyDescent="0.25">
      <c r="A124" s="41" t="s">
        <v>501</v>
      </c>
      <c r="B124" s="42">
        <v>71690172</v>
      </c>
    </row>
    <row r="125" spans="1:2" x14ac:dyDescent="0.25">
      <c r="A125" s="41" t="s">
        <v>502</v>
      </c>
      <c r="B125" s="42">
        <v>79324536</v>
      </c>
    </row>
    <row r="126" spans="1:2" x14ac:dyDescent="0.25">
      <c r="A126" s="41" t="s">
        <v>503</v>
      </c>
      <c r="B126" s="42">
        <v>74185664</v>
      </c>
    </row>
    <row r="127" spans="1:2" x14ac:dyDescent="0.25">
      <c r="A127" s="41" t="s">
        <v>504</v>
      </c>
      <c r="B127" s="42">
        <v>43733154</v>
      </c>
    </row>
    <row r="128" spans="1:2" x14ac:dyDescent="0.25">
      <c r="A128" s="41" t="s">
        <v>505</v>
      </c>
      <c r="B128" s="42" t="s">
        <v>506</v>
      </c>
    </row>
    <row r="129" spans="1:2" x14ac:dyDescent="0.25">
      <c r="A129" s="41" t="s">
        <v>507</v>
      </c>
      <c r="B129" s="42">
        <v>71373121</v>
      </c>
    </row>
    <row r="130" spans="1:2" x14ac:dyDescent="0.25">
      <c r="A130" s="41" t="s">
        <v>508</v>
      </c>
      <c r="B130" s="42" t="s">
        <v>559</v>
      </c>
    </row>
    <row r="131" spans="1:2" x14ac:dyDescent="0.25">
      <c r="A131" s="41" t="s">
        <v>509</v>
      </c>
      <c r="B131" s="43">
        <v>43589188</v>
      </c>
    </row>
    <row r="132" spans="1:2" x14ac:dyDescent="0.25">
      <c r="A132" s="41" t="s">
        <v>510</v>
      </c>
      <c r="B132" s="42">
        <v>43631379</v>
      </c>
    </row>
    <row r="133" spans="1:2" x14ac:dyDescent="0.25">
      <c r="A133" s="41" t="s">
        <v>511</v>
      </c>
      <c r="B133" s="42">
        <v>43574075</v>
      </c>
    </row>
    <row r="134" spans="1:2" x14ac:dyDescent="0.25">
      <c r="A134" s="41" t="s">
        <v>512</v>
      </c>
      <c r="B134" s="42">
        <v>32450553</v>
      </c>
    </row>
    <row r="135" spans="1:2" x14ac:dyDescent="0.25">
      <c r="A135" s="41" t="s">
        <v>513</v>
      </c>
      <c r="B135" s="42">
        <v>71850545</v>
      </c>
    </row>
    <row r="136" spans="1:2" x14ac:dyDescent="0.25">
      <c r="A136" s="41" t="s">
        <v>514</v>
      </c>
      <c r="B136" s="42">
        <v>71715701</v>
      </c>
    </row>
    <row r="137" spans="1:2" x14ac:dyDescent="0.25">
      <c r="A137" s="41" t="s">
        <v>515</v>
      </c>
      <c r="B137" s="42">
        <v>93408901</v>
      </c>
    </row>
    <row r="138" spans="1:2" x14ac:dyDescent="0.25">
      <c r="A138" s="41" t="s">
        <v>516</v>
      </c>
      <c r="B138" s="42">
        <v>98762438</v>
      </c>
    </row>
    <row r="139" spans="1:2" x14ac:dyDescent="0.25">
      <c r="A139" s="41" t="s">
        <v>517</v>
      </c>
      <c r="B139" s="42">
        <v>70052901</v>
      </c>
    </row>
    <row r="140" spans="1:2" x14ac:dyDescent="0.25">
      <c r="A140" s="41" t="s">
        <v>518</v>
      </c>
      <c r="B140" s="42">
        <v>71374326</v>
      </c>
    </row>
    <row r="141" spans="1:2" x14ac:dyDescent="0.25">
      <c r="A141" s="41" t="s">
        <v>519</v>
      </c>
      <c r="B141" s="42">
        <v>15319469</v>
      </c>
    </row>
    <row r="142" spans="1:2" x14ac:dyDescent="0.25">
      <c r="A142" s="41" t="s">
        <v>520</v>
      </c>
      <c r="B142" s="42">
        <v>71600472</v>
      </c>
    </row>
    <row r="143" spans="1:2" x14ac:dyDescent="0.25">
      <c r="A143" s="41" t="s">
        <v>521</v>
      </c>
      <c r="B143" s="42" t="s">
        <v>559</v>
      </c>
    </row>
    <row r="144" spans="1:2" x14ac:dyDescent="0.25">
      <c r="A144" s="41" t="s">
        <v>522</v>
      </c>
      <c r="B144" s="43">
        <v>42978843</v>
      </c>
    </row>
    <row r="145" spans="1:2" x14ac:dyDescent="0.25">
      <c r="A145" s="41" t="s">
        <v>523</v>
      </c>
      <c r="B145" s="42" t="s">
        <v>524</v>
      </c>
    </row>
    <row r="146" spans="1:2" x14ac:dyDescent="0.25">
      <c r="A146" s="41" t="s">
        <v>525</v>
      </c>
      <c r="B146" s="42">
        <v>18496076</v>
      </c>
    </row>
    <row r="147" spans="1:2" x14ac:dyDescent="0.25">
      <c r="A147" s="41" t="s">
        <v>526</v>
      </c>
      <c r="B147" s="42">
        <v>37726659</v>
      </c>
    </row>
    <row r="148" spans="1:2" x14ac:dyDescent="0.25">
      <c r="A148" s="41" t="s">
        <v>527</v>
      </c>
      <c r="B148" s="42">
        <v>43736060</v>
      </c>
    </row>
    <row r="149" spans="1:2" x14ac:dyDescent="0.25">
      <c r="A149" s="41" t="s">
        <v>528</v>
      </c>
      <c r="B149" s="42">
        <v>43045140</v>
      </c>
    </row>
    <row r="150" spans="1:2" x14ac:dyDescent="0.25">
      <c r="A150" s="41" t="s">
        <v>529</v>
      </c>
      <c r="B150" s="42">
        <v>51782710</v>
      </c>
    </row>
    <row r="151" spans="1:2" x14ac:dyDescent="0.25">
      <c r="A151" s="41" t="s">
        <v>530</v>
      </c>
      <c r="B151" s="42">
        <v>43754949</v>
      </c>
    </row>
    <row r="152" spans="1:2" x14ac:dyDescent="0.25">
      <c r="A152" s="41" t="s">
        <v>531</v>
      </c>
      <c r="B152" s="42">
        <v>32160433</v>
      </c>
    </row>
    <row r="153" spans="1:2" x14ac:dyDescent="0.25">
      <c r="A153" s="41" t="s">
        <v>532</v>
      </c>
      <c r="B153" s="42">
        <v>43271158</v>
      </c>
    </row>
    <row r="154" spans="1:2" x14ac:dyDescent="0.25">
      <c r="A154" s="41" t="s">
        <v>533</v>
      </c>
      <c r="B154" s="42">
        <v>42688146</v>
      </c>
    </row>
    <row r="155" spans="1:2" x14ac:dyDescent="0.25">
      <c r="A155" s="41" t="s">
        <v>534</v>
      </c>
      <c r="B155" s="42">
        <v>63306025</v>
      </c>
    </row>
    <row r="156" spans="1:2" x14ac:dyDescent="0.25">
      <c r="A156" s="41" t="s">
        <v>535</v>
      </c>
      <c r="B156" s="42">
        <v>43636595</v>
      </c>
    </row>
    <row r="157" spans="1:2" x14ac:dyDescent="0.25">
      <c r="A157" s="41" t="s">
        <v>536</v>
      </c>
      <c r="B157" s="42">
        <v>43820480</v>
      </c>
    </row>
    <row r="158" spans="1:2" x14ac:dyDescent="0.25">
      <c r="A158" s="41" t="s">
        <v>537</v>
      </c>
      <c r="B158" s="42">
        <v>88251569</v>
      </c>
    </row>
    <row r="159" spans="1:2" x14ac:dyDescent="0.25">
      <c r="A159" s="41" t="s">
        <v>538</v>
      </c>
      <c r="B159" s="42">
        <v>98383434</v>
      </c>
    </row>
    <row r="160" spans="1:2" x14ac:dyDescent="0.25">
      <c r="A160" s="41" t="s">
        <v>539</v>
      </c>
      <c r="B160" s="42">
        <v>1017126818</v>
      </c>
    </row>
    <row r="161" spans="1:2" x14ac:dyDescent="0.25">
      <c r="A161" s="41" t="s">
        <v>540</v>
      </c>
      <c r="B161" s="42">
        <v>52197727</v>
      </c>
    </row>
    <row r="162" spans="1:2" x14ac:dyDescent="0.25">
      <c r="A162" s="41" t="s">
        <v>541</v>
      </c>
      <c r="B162" s="42">
        <v>51706561</v>
      </c>
    </row>
    <row r="163" spans="1:2" x14ac:dyDescent="0.25">
      <c r="A163" s="41" t="s">
        <v>542</v>
      </c>
      <c r="B163" s="42" t="s">
        <v>559</v>
      </c>
    </row>
    <row r="164" spans="1:2" x14ac:dyDescent="0.25">
      <c r="A164" s="41" t="s">
        <v>543</v>
      </c>
      <c r="B164" s="43" t="s">
        <v>559</v>
      </c>
    </row>
    <row r="165" spans="1:2" x14ac:dyDescent="0.25">
      <c r="A165" s="41" t="s">
        <v>544</v>
      </c>
      <c r="B165" s="43">
        <v>32392138</v>
      </c>
    </row>
    <row r="166" spans="1:2" x14ac:dyDescent="0.25">
      <c r="A166" s="41" t="s">
        <v>545</v>
      </c>
      <c r="B166" s="42">
        <v>70561630</v>
      </c>
    </row>
    <row r="167" spans="1:2" x14ac:dyDescent="0.25">
      <c r="A167" s="41" t="s">
        <v>546</v>
      </c>
      <c r="B167" s="42">
        <v>98545035</v>
      </c>
    </row>
    <row r="168" spans="1:2" x14ac:dyDescent="0.25">
      <c r="A168" s="41" t="s">
        <v>547</v>
      </c>
      <c r="B168" s="42">
        <v>103098312</v>
      </c>
    </row>
    <row r="169" spans="1:2" x14ac:dyDescent="0.25">
      <c r="A169" s="41" t="s">
        <v>548</v>
      </c>
      <c r="B169" s="42">
        <v>42775166</v>
      </c>
    </row>
    <row r="170" spans="1:2" x14ac:dyDescent="0.25">
      <c r="A170" s="41" t="s">
        <v>549</v>
      </c>
      <c r="B170" s="42">
        <v>39355853</v>
      </c>
    </row>
    <row r="171" spans="1:2" x14ac:dyDescent="0.25">
      <c r="A171" s="41" t="s">
        <v>550</v>
      </c>
      <c r="B171" s="42">
        <v>43569251</v>
      </c>
    </row>
    <row r="172" spans="1:2" x14ac:dyDescent="0.25">
      <c r="A172" s="41" t="s">
        <v>551</v>
      </c>
      <c r="B172" s="42">
        <v>24331389</v>
      </c>
    </row>
    <row r="173" spans="1:2" x14ac:dyDescent="0.25">
      <c r="A173" s="41" t="s">
        <v>552</v>
      </c>
      <c r="B173" s="42">
        <v>43261673</v>
      </c>
    </row>
    <row r="174" spans="1:2" x14ac:dyDescent="0.25">
      <c r="A174" s="41" t="s">
        <v>553</v>
      </c>
      <c r="B174" s="42">
        <v>43973745</v>
      </c>
    </row>
    <row r="175" spans="1:2" x14ac:dyDescent="0.25">
      <c r="A175" s="41" t="s">
        <v>554</v>
      </c>
      <c r="B175" s="42">
        <v>42792532</v>
      </c>
    </row>
    <row r="176" spans="1:2" x14ac:dyDescent="0.25">
      <c r="A176" s="41" t="s">
        <v>555</v>
      </c>
      <c r="B176" s="42">
        <v>43273420</v>
      </c>
    </row>
    <row r="177" spans="1:2" x14ac:dyDescent="0.25">
      <c r="A177" s="41" t="s">
        <v>556</v>
      </c>
      <c r="B177" s="42">
        <v>71652459</v>
      </c>
    </row>
    <row r="178" spans="1:2" x14ac:dyDescent="0.25">
      <c r="A178" s="41" t="s">
        <v>557</v>
      </c>
      <c r="B178" s="42">
        <v>10285050</v>
      </c>
    </row>
    <row r="179" spans="1:2" x14ac:dyDescent="0.25">
      <c r="A179" s="41" t="s">
        <v>558</v>
      </c>
      <c r="B179" s="42">
        <v>2773712</v>
      </c>
    </row>
    <row r="180" spans="1:2" x14ac:dyDescent="0.25">
      <c r="A180" s="41" t="s">
        <v>869</v>
      </c>
      <c r="B180" s="42">
        <v>71228513</v>
      </c>
    </row>
    <row r="181" spans="1:2" x14ac:dyDescent="0.25">
      <c r="A181" s="41" t="s">
        <v>870</v>
      </c>
      <c r="B181" s="42" t="s">
        <v>559</v>
      </c>
    </row>
    <row r="182" spans="1:2" x14ac:dyDescent="0.25">
      <c r="A182" s="41" t="s">
        <v>871</v>
      </c>
      <c r="B182" s="42">
        <v>16729916</v>
      </c>
    </row>
    <row r="183" spans="1:2" x14ac:dyDescent="0.25">
      <c r="A183" s="41" t="s">
        <v>872</v>
      </c>
      <c r="B183" s="42">
        <v>3614926</v>
      </c>
    </row>
    <row r="184" spans="1:2" x14ac:dyDescent="0.25">
      <c r="A184" s="41" t="s">
        <v>873</v>
      </c>
      <c r="B184" s="42">
        <v>43181204</v>
      </c>
    </row>
    <row r="185" spans="1:2" x14ac:dyDescent="0.25">
      <c r="A185" s="41" t="s">
        <v>874</v>
      </c>
      <c r="B185" s="42">
        <v>9274624</v>
      </c>
    </row>
    <row r="186" spans="1:2" x14ac:dyDescent="0.25">
      <c r="A186" s="41" t="s">
        <v>875</v>
      </c>
      <c r="B186" s="42">
        <v>14321327</v>
      </c>
    </row>
    <row r="187" spans="1:2" x14ac:dyDescent="0.25">
      <c r="A187" s="41" t="s">
        <v>876</v>
      </c>
      <c r="B187" s="42">
        <v>70552478</v>
      </c>
    </row>
    <row r="188" spans="1:2" x14ac:dyDescent="0.25">
      <c r="A188" s="41" t="s">
        <v>877</v>
      </c>
      <c r="B188" s="42">
        <v>78695953</v>
      </c>
    </row>
    <row r="189" spans="1:2" x14ac:dyDescent="0.25">
      <c r="A189" s="41" t="s">
        <v>878</v>
      </c>
      <c r="B189" s="42">
        <v>39357558</v>
      </c>
    </row>
    <row r="190" spans="1:2" x14ac:dyDescent="0.25">
      <c r="A190" s="41" t="s">
        <v>879</v>
      </c>
      <c r="B190" s="42">
        <v>32144634</v>
      </c>
    </row>
    <row r="191" spans="1:2" x14ac:dyDescent="0.25">
      <c r="A191" s="41" t="s">
        <v>880</v>
      </c>
      <c r="B191" s="42">
        <v>43976190</v>
      </c>
    </row>
    <row r="192" spans="1:2" x14ac:dyDescent="0.25">
      <c r="A192" s="41" t="s">
        <v>881</v>
      </c>
      <c r="B192" s="42">
        <v>1037584763</v>
      </c>
    </row>
    <row r="193" spans="1:2" x14ac:dyDescent="0.25">
      <c r="A193" s="41" t="s">
        <v>882</v>
      </c>
      <c r="B193" s="42">
        <v>91274892</v>
      </c>
    </row>
    <row r="194" spans="1:2" x14ac:dyDescent="0.25">
      <c r="A194" s="41" t="s">
        <v>883</v>
      </c>
      <c r="B194" s="42">
        <v>79396377</v>
      </c>
    </row>
    <row r="195" spans="1:2" x14ac:dyDescent="0.25">
      <c r="A195" s="41" t="s">
        <v>884</v>
      </c>
      <c r="B195" s="42">
        <v>71604098</v>
      </c>
    </row>
    <row r="196" spans="1:2" x14ac:dyDescent="0.25">
      <c r="A196" s="41" t="s">
        <v>885</v>
      </c>
      <c r="B196" s="42" t="s">
        <v>559</v>
      </c>
    </row>
    <row r="197" spans="1:2" x14ac:dyDescent="0.25">
      <c r="A197" s="41" t="s">
        <v>886</v>
      </c>
      <c r="B197" s="42">
        <v>43208454</v>
      </c>
    </row>
    <row r="198" spans="1:2" x14ac:dyDescent="0.25">
      <c r="A198" s="41" t="s">
        <v>887</v>
      </c>
      <c r="B198" s="42">
        <v>37224127</v>
      </c>
    </row>
    <row r="199" spans="1:2" x14ac:dyDescent="0.25">
      <c r="A199" s="41" t="s">
        <v>888</v>
      </c>
      <c r="B199" s="42">
        <v>71781892</v>
      </c>
    </row>
    <row r="200" spans="1:2" x14ac:dyDescent="0.25">
      <c r="A200" s="41" t="s">
        <v>889</v>
      </c>
      <c r="B200" s="42">
        <v>43684363</v>
      </c>
    </row>
    <row r="201" spans="1:2" x14ac:dyDescent="0.25">
      <c r="A201" s="41" t="s">
        <v>890</v>
      </c>
      <c r="B201" s="42">
        <v>42828062</v>
      </c>
    </row>
    <row r="202" spans="1:2" x14ac:dyDescent="0.25">
      <c r="A202" s="41" t="s">
        <v>891</v>
      </c>
      <c r="B202" s="42">
        <v>43001116</v>
      </c>
    </row>
    <row r="203" spans="1:2" x14ac:dyDescent="0.25">
      <c r="A203" s="41" t="s">
        <v>892</v>
      </c>
      <c r="B203" s="42">
        <v>32297021</v>
      </c>
    </row>
    <row r="204" spans="1:2" x14ac:dyDescent="0.25">
      <c r="A204" s="41" t="s">
        <v>893</v>
      </c>
      <c r="B204" s="42">
        <v>43042920</v>
      </c>
    </row>
    <row r="205" spans="1:2" x14ac:dyDescent="0.25">
      <c r="A205" s="41" t="s">
        <v>894</v>
      </c>
      <c r="B205" s="42">
        <v>423015</v>
      </c>
    </row>
    <row r="206" spans="1:2" x14ac:dyDescent="0.25">
      <c r="A206" s="41" t="s">
        <v>895</v>
      </c>
      <c r="B206" s="42">
        <v>87470374</v>
      </c>
    </row>
    <row r="207" spans="1:2" x14ac:dyDescent="0.25">
      <c r="A207" s="41" t="s">
        <v>896</v>
      </c>
      <c r="B207" s="42">
        <v>42785840</v>
      </c>
    </row>
    <row r="208" spans="1:2" x14ac:dyDescent="0.25">
      <c r="A208" s="41" t="s">
        <v>897</v>
      </c>
      <c r="B208" s="42">
        <v>1128445920</v>
      </c>
    </row>
    <row r="209" spans="1:2" x14ac:dyDescent="0.25">
      <c r="A209" s="41" t="s">
        <v>898</v>
      </c>
      <c r="B209" s="42">
        <v>3400095</v>
      </c>
    </row>
    <row r="210" spans="1:2" x14ac:dyDescent="0.25">
      <c r="A210" s="41" t="s">
        <v>899</v>
      </c>
      <c r="B210" s="42">
        <v>43107725</v>
      </c>
    </row>
    <row r="211" spans="1:2" x14ac:dyDescent="0.25">
      <c r="A211" s="41" t="s">
        <v>900</v>
      </c>
      <c r="B211" s="42">
        <v>1128476811</v>
      </c>
    </row>
    <row r="212" spans="1:2" x14ac:dyDescent="0.25">
      <c r="A212" s="41" t="s">
        <v>901</v>
      </c>
      <c r="B212" s="42">
        <v>98635968</v>
      </c>
    </row>
    <row r="213" spans="1:2" x14ac:dyDescent="0.25">
      <c r="A213" s="41" t="s">
        <v>902</v>
      </c>
      <c r="B213" s="42">
        <v>1048014259</v>
      </c>
    </row>
    <row r="214" spans="1:2" x14ac:dyDescent="0.25">
      <c r="A214" s="41" t="s">
        <v>903</v>
      </c>
      <c r="B214" s="42">
        <v>71330691</v>
      </c>
    </row>
    <row r="215" spans="1:2" x14ac:dyDescent="0.25">
      <c r="A215" s="41" t="s">
        <v>904</v>
      </c>
      <c r="B215" s="42">
        <v>15484625</v>
      </c>
    </row>
    <row r="216" spans="1:2" x14ac:dyDescent="0.25">
      <c r="A216" s="41" t="s">
        <v>905</v>
      </c>
      <c r="B216" s="42">
        <v>98531399</v>
      </c>
    </row>
    <row r="217" spans="1:2" x14ac:dyDescent="0.25">
      <c r="A217" s="41" t="s">
        <v>906</v>
      </c>
      <c r="B217" s="42">
        <v>12906428</v>
      </c>
    </row>
    <row r="218" spans="1:2" x14ac:dyDescent="0.25">
      <c r="A218" s="41" t="s">
        <v>907</v>
      </c>
      <c r="B218" s="42">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8"/>
  <sheetViews>
    <sheetView workbookViewId="0">
      <selection activeCell="F38" sqref="F38"/>
    </sheetView>
  </sheetViews>
  <sheetFormatPr baseColWidth="10" defaultRowHeight="15" x14ac:dyDescent="0.25"/>
  <cols>
    <col min="1" max="1" width="52.140625" customWidth="1"/>
  </cols>
  <sheetData>
    <row r="1" spans="1:1" x14ac:dyDescent="0.25">
      <c r="A1" s="18" t="s">
        <v>7</v>
      </c>
    </row>
    <row r="2" spans="1:1" x14ac:dyDescent="0.25">
      <c r="A2" s="37" t="s">
        <v>327</v>
      </c>
    </row>
    <row r="3" spans="1:1" x14ac:dyDescent="0.25">
      <c r="A3" s="37" t="s">
        <v>352</v>
      </c>
    </row>
    <row r="4" spans="1:1" x14ac:dyDescent="0.25">
      <c r="A4" s="37" t="s">
        <v>353</v>
      </c>
    </row>
    <row r="5" spans="1:1" x14ac:dyDescent="0.25">
      <c r="A5" s="37" t="s">
        <v>328</v>
      </c>
    </row>
    <row r="6" spans="1:1" x14ac:dyDescent="0.25">
      <c r="A6" s="37" t="s">
        <v>329</v>
      </c>
    </row>
    <row r="7" spans="1:1" x14ac:dyDescent="0.25">
      <c r="A7" s="37" t="s">
        <v>330</v>
      </c>
    </row>
    <row r="8" spans="1:1" x14ac:dyDescent="0.25">
      <c r="A8" s="37" t="s">
        <v>347</v>
      </c>
    </row>
    <row r="9" spans="1:1" x14ac:dyDescent="0.25">
      <c r="A9" s="37" t="s">
        <v>354</v>
      </c>
    </row>
    <row r="10" spans="1:1" x14ac:dyDescent="0.25">
      <c r="A10" s="37" t="s">
        <v>14</v>
      </c>
    </row>
    <row r="11" spans="1:1" x14ac:dyDescent="0.25">
      <c r="A11" s="37" t="s">
        <v>331</v>
      </c>
    </row>
    <row r="12" spans="1:1" x14ac:dyDescent="0.25">
      <c r="A12" s="37" t="s">
        <v>332</v>
      </c>
    </row>
    <row r="13" spans="1:1" x14ac:dyDescent="0.25">
      <c r="A13" s="37" t="s">
        <v>348</v>
      </c>
    </row>
    <row r="14" spans="1:1" x14ac:dyDescent="0.25">
      <c r="A14" s="37" t="s">
        <v>333</v>
      </c>
    </row>
    <row r="15" spans="1:1" x14ac:dyDescent="0.25">
      <c r="A15" s="37" t="s">
        <v>334</v>
      </c>
    </row>
    <row r="16" spans="1:1" x14ac:dyDescent="0.25">
      <c r="A16" s="37" t="s">
        <v>349</v>
      </c>
    </row>
    <row r="17" spans="1:1" x14ac:dyDescent="0.25">
      <c r="A17" s="37" t="s">
        <v>350</v>
      </c>
    </row>
    <row r="18" spans="1:1" x14ac:dyDescent="0.25">
      <c r="A18" s="37" t="s">
        <v>351</v>
      </c>
    </row>
    <row r="19" spans="1:1" x14ac:dyDescent="0.25">
      <c r="A19" s="37" t="s">
        <v>8</v>
      </c>
    </row>
    <row r="20" spans="1:1" x14ac:dyDescent="0.25">
      <c r="A20" s="37" t="s">
        <v>355</v>
      </c>
    </row>
    <row r="21" spans="1:1" x14ac:dyDescent="0.25">
      <c r="A21" s="37" t="s">
        <v>356</v>
      </c>
    </row>
    <row r="22" spans="1:1" x14ac:dyDescent="0.25">
      <c r="A22" s="37" t="s">
        <v>357</v>
      </c>
    </row>
    <row r="23" spans="1:1" x14ac:dyDescent="0.25">
      <c r="A23" s="37" t="s">
        <v>358</v>
      </c>
    </row>
    <row r="24" spans="1:1" x14ac:dyDescent="0.25">
      <c r="A24" s="37" t="s">
        <v>335</v>
      </c>
    </row>
    <row r="25" spans="1:1" x14ac:dyDescent="0.25">
      <c r="A25" s="37" t="s">
        <v>9</v>
      </c>
    </row>
    <row r="26" spans="1:1" x14ac:dyDescent="0.25">
      <c r="A26" s="37" t="s">
        <v>336</v>
      </c>
    </row>
    <row r="27" spans="1:1" x14ac:dyDescent="0.25">
      <c r="A27" s="37" t="s">
        <v>359</v>
      </c>
    </row>
    <row r="28" spans="1:1" x14ac:dyDescent="0.25">
      <c r="A28" s="37" t="s">
        <v>360</v>
      </c>
    </row>
    <row r="29" spans="1:1" x14ac:dyDescent="0.25">
      <c r="A29" s="37" t="s">
        <v>375</v>
      </c>
    </row>
    <row r="30" spans="1:1" x14ac:dyDescent="0.25">
      <c r="A30" s="37" t="s">
        <v>10</v>
      </c>
    </row>
    <row r="31" spans="1:1" x14ac:dyDescent="0.25">
      <c r="A31" s="37" t="s">
        <v>337</v>
      </c>
    </row>
    <row r="32" spans="1:1" x14ac:dyDescent="0.25">
      <c r="A32" s="37" t="s">
        <v>338</v>
      </c>
    </row>
    <row r="33" spans="1:1" x14ac:dyDescent="0.25">
      <c r="A33" s="37" t="s">
        <v>573</v>
      </c>
    </row>
    <row r="34" spans="1:1" x14ac:dyDescent="0.25">
      <c r="A34" s="37" t="s">
        <v>339</v>
      </c>
    </row>
    <row r="35" spans="1:1" x14ac:dyDescent="0.25">
      <c r="A35" s="37" t="s">
        <v>361</v>
      </c>
    </row>
    <row r="36" spans="1:1" x14ac:dyDescent="0.25">
      <c r="A36" s="37" t="s">
        <v>362</v>
      </c>
    </row>
    <row r="37" spans="1:1" x14ac:dyDescent="0.25">
      <c r="A37" s="37" t="s">
        <v>363</v>
      </c>
    </row>
    <row r="38" spans="1:1" x14ac:dyDescent="0.25">
      <c r="A38" s="37" t="s">
        <v>11</v>
      </c>
    </row>
    <row r="39" spans="1:1" x14ac:dyDescent="0.25">
      <c r="A39" s="37" t="s">
        <v>364</v>
      </c>
    </row>
    <row r="40" spans="1:1" x14ac:dyDescent="0.25">
      <c r="A40" s="37" t="s">
        <v>365</v>
      </c>
    </row>
    <row r="41" spans="1:1" x14ac:dyDescent="0.25">
      <c r="A41" s="37" t="s">
        <v>12</v>
      </c>
    </row>
    <row r="42" spans="1:1" x14ac:dyDescent="0.25">
      <c r="A42" s="37" t="s">
        <v>366</v>
      </c>
    </row>
    <row r="43" spans="1:1" x14ac:dyDescent="0.25">
      <c r="A43" s="37" t="s">
        <v>367</v>
      </c>
    </row>
    <row r="44" spans="1:1" x14ac:dyDescent="0.25">
      <c r="A44" s="37" t="s">
        <v>368</v>
      </c>
    </row>
    <row r="45" spans="1:1" x14ac:dyDescent="0.25">
      <c r="A45" s="37" t="s">
        <v>13</v>
      </c>
    </row>
    <row r="46" spans="1:1" x14ac:dyDescent="0.25">
      <c r="A46" s="37" t="s">
        <v>340</v>
      </c>
    </row>
    <row r="47" spans="1:1" x14ac:dyDescent="0.25">
      <c r="A47" s="37" t="s">
        <v>341</v>
      </c>
    </row>
    <row r="48" spans="1:1" x14ac:dyDescent="0.25">
      <c r="A48" s="37" t="s">
        <v>342</v>
      </c>
    </row>
    <row r="49" spans="1:1" x14ac:dyDescent="0.25">
      <c r="A49" s="37" t="s">
        <v>369</v>
      </c>
    </row>
    <row r="50" spans="1:1" x14ac:dyDescent="0.25">
      <c r="A50" s="37" t="s">
        <v>370</v>
      </c>
    </row>
    <row r="51" spans="1:1" x14ac:dyDescent="0.25">
      <c r="A51" s="37" t="s">
        <v>371</v>
      </c>
    </row>
    <row r="52" spans="1:1" x14ac:dyDescent="0.25">
      <c r="A52" s="37" t="s">
        <v>372</v>
      </c>
    </row>
    <row r="53" spans="1:1" x14ac:dyDescent="0.25">
      <c r="A53" s="37" t="s">
        <v>373</v>
      </c>
    </row>
    <row r="54" spans="1:1" x14ac:dyDescent="0.25">
      <c r="A54" s="37" t="s">
        <v>763</v>
      </c>
    </row>
    <row r="55" spans="1:1" x14ac:dyDescent="0.25">
      <c r="A55" s="37" t="s">
        <v>343</v>
      </c>
    </row>
    <row r="56" spans="1:1" x14ac:dyDescent="0.25">
      <c r="A56" s="37" t="s">
        <v>344</v>
      </c>
    </row>
    <row r="57" spans="1:1" x14ac:dyDescent="0.25">
      <c r="A57" s="40" t="s">
        <v>374</v>
      </c>
    </row>
    <row r="58" spans="1:1" x14ac:dyDescent="0.25">
      <c r="A58" s="37" t="s">
        <v>813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
  <sheetViews>
    <sheetView workbookViewId="0">
      <selection activeCell="I10" sqref="I10"/>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22.42578125" style="23" customWidth="1"/>
    <col min="11" max="11" width="39.85546875" style="23" customWidth="1"/>
    <col min="12" max="16384" width="10" style="23"/>
  </cols>
  <sheetData>
    <row r="1" spans="1:11" ht="38.25" x14ac:dyDescent="0.25">
      <c r="A1" s="34" t="s">
        <v>28</v>
      </c>
      <c r="B1" s="34" t="s">
        <v>62</v>
      </c>
      <c r="C1" s="34" t="s">
        <v>63</v>
      </c>
      <c r="D1" s="34" t="s">
        <v>67</v>
      </c>
      <c r="E1" s="34" t="s">
        <v>68</v>
      </c>
      <c r="F1" s="34" t="s">
        <v>71</v>
      </c>
      <c r="G1" s="34" t="s">
        <v>289</v>
      </c>
      <c r="H1" s="34" t="s">
        <v>291</v>
      </c>
      <c r="I1" s="34" t="s">
        <v>293</v>
      </c>
      <c r="J1" s="34" t="s">
        <v>289</v>
      </c>
      <c r="K1" s="34" t="s">
        <v>317</v>
      </c>
    </row>
    <row r="2" spans="1:11" ht="25.5" x14ac:dyDescent="0.25">
      <c r="A2" s="22" t="s">
        <v>70</v>
      </c>
      <c r="B2" s="33" t="s">
        <v>66</v>
      </c>
      <c r="C2" s="33" t="s">
        <v>64</v>
      </c>
      <c r="D2" s="22" t="s">
        <v>65</v>
      </c>
      <c r="E2" s="22" t="s">
        <v>69</v>
      </c>
      <c r="F2" s="22" t="s">
        <v>70</v>
      </c>
      <c r="G2" s="23" t="s">
        <v>290</v>
      </c>
      <c r="H2" s="23" t="s">
        <v>292</v>
      </c>
      <c r="I2" s="23" t="s">
        <v>572</v>
      </c>
      <c r="K2" s="32"/>
    </row>
  </sheetData>
  <hyperlinks>
    <hyperlink ref="I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2022-02-04T22:32:04Z</dcterms:modified>
</cp:coreProperties>
</file>