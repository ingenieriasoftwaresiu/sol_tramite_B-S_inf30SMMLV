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H:\Mi unidad\Ingeniería de Software\Desarrollo\Solución trámite de bienes y servicios con tickets\Versión 2\"/>
    </mc:Choice>
  </mc:AlternateContent>
  <bookViews>
    <workbookView xWindow="28680" yWindow="-120" windowWidth="29040" windowHeight="15990"/>
  </bookViews>
  <sheets>
    <sheet name="Solicitud de trámite" sheetId="2" r:id="rId1"/>
    <sheet name="Estudio previo" sheetId="3" state="hidden" r:id="rId2"/>
    <sheet name="Consulta de precios" sheetId="4" state="hidden" r:id="rId3"/>
    <sheet name="Parámetros" sheetId="1" r:id="rId4"/>
    <sheet name="Desarrollador" sheetId="5" state="hidden" r:id="rId5"/>
  </sheets>
  <functionGroups builtInGroupCount="18"/>
  <definedNames>
    <definedName name="_xlnm._FilterDatabase" localSheetId="3" hidden="1">Parámetros!$A$1:$I$234</definedName>
    <definedName name="ADMINISTRACIÓN">Parámetros!$C$2</definedName>
    <definedName name="ALIMENTACIÓN_Y_NUTRICIÓN_HUMANA">Parámetros!$C$3:$C$5</definedName>
    <definedName name="_xlnm.Print_Area" localSheetId="2">'Consulta de precios'!$A$1:$J$44</definedName>
    <definedName name="_xlnm.Print_Area" localSheetId="1">'Estudio previo'!$A$1:$J$47</definedName>
    <definedName name="_xlnm.Print_Area" localSheetId="0">'Solicitud de trámite'!$A$1:$L$59</definedName>
    <definedName name="BIOTECNOLOGÍA">Parámetros!$C$6:$C$11</definedName>
    <definedName name="CATÁLISIS_AMBIENTAL">Parámetros!$C$12:$C$18</definedName>
    <definedName name="CATALIZADORES_Y_ABSORBENTES">Parámetros!$C$19:$C$20</definedName>
    <definedName name="CEDAIT">Parámetros!$C$21:$C$29</definedName>
    <definedName name="CIDEMAT">Parámetros!$C$30:$C$47</definedName>
    <definedName name="CIENCIA_DE_LOS_MATERIALES">Parámetros!$C$48:$C$56</definedName>
    <definedName name="CITOMETRÍA">Parámetros!$C$57</definedName>
    <definedName name="DIAGNÓSTICO_Y_CONTROL_DE_LA_CONTAMINACIÓN">Parámetros!$C$58:$C$68</definedName>
    <definedName name="DIDÁCTICA_Y_NUEVAS_TECNOLOGÍAS">Parámetros!$C$69:$C$70</definedName>
    <definedName name="DIRECCIÓN_DE_POSGRADOS">Parámetros!$C$71</definedName>
    <definedName name="EPIDEMIOLOGÍA">Parámetros!$C$72</definedName>
    <definedName name="ESTADO_SÓLIDO">Parámetros!$C$73:$C$78</definedName>
    <definedName name="FÍSICA_ATÓMICA">Parámetros!$C$79:$C$81</definedName>
    <definedName name="GAIA">Parámetros!$C$82:$C$83</definedName>
    <definedName name="GASTROHEPATOLOGÍA">Parámetros!$C$84:$C$87</definedName>
    <definedName name="GASURE">Parámetros!$C$88</definedName>
    <definedName name="GENÉTICA_MOLECULAR">Parámetros!$C$89:$C$94</definedName>
    <definedName name="GENÉTICA_REGENERACIÓN_Y_CÁNCER">Parámetros!$C$95:$C$96</definedName>
    <definedName name="GENÉTICA_Y_BIOQUÍMICA_DE_MICROORGANISMOS">Parámetros!$C$97</definedName>
    <definedName name="GIMEL">Parámetros!$C$98:$C$99</definedName>
    <definedName name="GMMT">Parámetros!$C$100:$C$101</definedName>
    <definedName name="GRID">Parámetros!$C$102</definedName>
    <definedName name="Grupo_de_Bioquímica_Estructural_de_Macromoléculas">Parámetros!$C$103</definedName>
    <definedName name="Grupos">Parámetros!$A$2:$A$58</definedName>
    <definedName name="HISTORIA_DE_LA_PRÁCTICA_PEDAGÓGICA_EN_COLOMBIA">Parámetros!$C$104</definedName>
    <definedName name="INMUNODEFICIENCIAS_PRIMARIAS">Parámetros!$C$105:$C$109</definedName>
    <definedName name="INMUNOVIROLOGÍA">Parámetros!$C$110:$C$123</definedName>
    <definedName name="MALARIA">Parámetros!$C$124:$C$128</definedName>
    <definedName name="MAX_PLANCK">Parámetros!$C$129:$C$137</definedName>
    <definedName name="MEDIO_AMBIENTE_Y_SOCIEDAD">Parámetros!$C$138:$C$140</definedName>
    <definedName name="NEUROCIENCIAS">Parámetros!$C$141:$C$155</definedName>
    <definedName name="OPTICA">Parámetros!$C$156:$C$160</definedName>
    <definedName name="PECET">Parámetros!$C$161:$C$180</definedName>
    <definedName name="PHYSIS">Parámetros!$C$181:$C$182</definedName>
    <definedName name="PROCESOS_FISICOQUIMICOS_APLICADOS">Parámetros!$C$183:$C$185</definedName>
    <definedName name="PROCESOS_QUIMICOS_INDUSTRIALES">Parámetros!$C$186:$C$192</definedName>
    <definedName name="QUÍMICA_DE_RECURSOS_ENERGÉTICOS">Parámetros!$C$193:$C$200</definedName>
    <definedName name="QUÍMICA_ORGÁNICA_DE_PRODUCTOS_NATURALES">Parámetros!$C$201:$C$208</definedName>
    <definedName name="REHABILITACIÓN_EN_SALUD">Parámetros!$C$209:$C$210</definedName>
    <definedName name="Remediación_Ambiental_y_Biocatálisis">Parámetros!$C$211:$C$213</definedName>
    <definedName name="REPRODUCCIÓN">Parámetros!$C$214:$C$217</definedName>
    <definedName name="SÉNECA">Parámetros!$C$218:$C$233</definedName>
    <definedName name="SUSTANCIAS_BIOACTIVAS">Parámetros!$C$234:$C$235</definedName>
    <definedName name="Toxinología_Alternativas_Terapéuticas_y_Alimentarias">Parámetros!$C$236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4" i="2" l="1"/>
  <c r="C14" i="2"/>
  <c r="I29" i="4" l="1"/>
  <c r="K41" i="2"/>
  <c r="G9" i="2" l="1"/>
</calcChain>
</file>

<file path=xl/sharedStrings.xml><?xml version="1.0" encoding="utf-8"?>
<sst xmlns="http://schemas.openxmlformats.org/spreadsheetml/2006/main" count="1163" uniqueCount="888">
  <si>
    <t>COORDINACIÓN DE PROCESO ADMINISTRACIÓN DE PROYECTOS</t>
  </si>
  <si>
    <t>Administración de Proyectos de Investigación y Extensión</t>
  </si>
  <si>
    <t>Administración SIU</t>
  </si>
  <si>
    <t>GRUPO DE INVESTIGACIÓN</t>
  </si>
  <si>
    <t>NOMBRE DEL INVESTIGADOR</t>
  </si>
  <si>
    <t>NRO. DE IDENTIFICACIÓN</t>
  </si>
  <si>
    <t>TELÉFONO</t>
  </si>
  <si>
    <t>GRUPOS DE INVESTIGACIÓN</t>
  </si>
  <si>
    <t>EPIDEMIOLOGÍA</t>
  </si>
  <si>
    <t>GASTROHEPATOLOGÍA</t>
  </si>
  <si>
    <t>GICIG</t>
  </si>
  <si>
    <t>INMUNOVIROLOGÍA</t>
  </si>
  <si>
    <t>MALARIA</t>
  </si>
  <si>
    <t>NEUROCIENCIAS</t>
  </si>
  <si>
    <t>CEDAIT</t>
  </si>
  <si>
    <t>NOMBRE DEL PROYECTO</t>
  </si>
  <si>
    <t>CENTRO DE COSTOS</t>
  </si>
  <si>
    <t>DESCRIPCIÓN DEL OBJETO DEL CONTRATO</t>
  </si>
  <si>
    <t>Si existe:</t>
  </si>
  <si>
    <t>No existe:</t>
  </si>
  <si>
    <t>VERIFICACIÓN DE CONTRATOS MARCO O ACUERDOS GENERALES PARA EL SERVICIO, OBRA O BIEN REQUERIDO (Marque con una X la opción)</t>
  </si>
  <si>
    <t>NOMBRE DEL PROVEEDOR</t>
  </si>
  <si>
    <t>NIT/CÉDULA</t>
  </si>
  <si>
    <t>NRO.</t>
  </si>
  <si>
    <t>IMPORTANTE: Si tiene precotizaciones previas, por favor adjuntelas al ticket y diligencie el siguiente cuadro:</t>
  </si>
  <si>
    <t>OBSERVACIONES</t>
  </si>
  <si>
    <t>TENER EN CUENTA:</t>
  </si>
  <si>
    <t>Esta información la utilizará la "Administración SIU" para diligenciar los formatos de "Estudio de Necesidad y Conveniencia para Cuantías Menores o Iguales a 30 SMMLV" y "Consulta de Precios del Mercado" en cumplimiento del Estatuto Contractual, formatos que estaban inicialmente bajo el diligenciamiento de los grupos de investigacion. Por lo tanto, la información que se digite en el presente formato de SOLICITUD DE TRAMITE es la misma que se utilizará para diligenciar los formatos correspondientes. En este sentido, cualquier error o inconsistencia será responsabilidad de quien diligencie la información y no de la Administración SIU.</t>
  </si>
  <si>
    <t>¿GENERADO?</t>
  </si>
  <si>
    <t>UNIVERSIDAD DE ANTIOQUIA</t>
  </si>
  <si>
    <t>ESTUDIO PREVIO DE NECESIDAD Y CONVENIENCIA                                                                                   PARA CUANTIAS MENORES O IGUALES A 30 SMMLV</t>
  </si>
  <si>
    <t>FECHA</t>
  </si>
  <si>
    <t>DIA</t>
  </si>
  <si>
    <t>MES</t>
  </si>
  <si>
    <t>AÑO</t>
  </si>
  <si>
    <t>2. CENTRO DE COSTOS</t>
  </si>
  <si>
    <t>1. UNIDAD ACADÉMICA O ADMINISTRATIVA
(Facultad, Dirección, Escuela o Instituto)</t>
  </si>
  <si>
    <t>3. NECESIDAD Y CONVENIENCIA DE LA CONTRATACIÓN</t>
  </si>
  <si>
    <t>4. DESCRIPCIÓN DEL OBJETO DEL CONTRATO</t>
  </si>
  <si>
    <t>5. CONDICIÓN DEL RESPONSABLE DE LA CONTRATACIÓN</t>
  </si>
  <si>
    <t>Competente:</t>
  </si>
  <si>
    <t>Carlos Eduardo Ostos Ortiz</t>
  </si>
  <si>
    <t>Acuerdo Superior 419 de abril 29 de 2014, Título II, Competencia y Delegación, Artículo 6°</t>
  </si>
  <si>
    <t>7. VERIFICACIÓN DE CONTRATOS MARCO O ACUERDOS GENERALES PARA EL SERVICIO, OBRA O BIEN REQUERIDO (Marque con una X la opción)</t>
  </si>
  <si>
    <t>8. FIRMAS</t>
  </si>
  <si>
    <t>Nombre completo:</t>
  </si>
  <si>
    <t>Cargo:</t>
  </si>
  <si>
    <t>Director Científico SIU</t>
  </si>
  <si>
    <t>Firma del servidor que realizó el estudio</t>
  </si>
  <si>
    <t>Firma del Competente o Delegado</t>
  </si>
  <si>
    <t>CONSULTA DE PRECIOS DEL MERCADO</t>
  </si>
  <si>
    <t>COORDINACION DE PROCESO GESTION COMPRAS</t>
  </si>
  <si>
    <t>GESTIÓN COMPRAS Y CONTRATACIÓN</t>
  </si>
  <si>
    <t>ADMINISTRACIÓN SIU</t>
  </si>
  <si>
    <t>En calidad de empleado de la Universidad de Antioquia, y en cumplimiento del Artículo 31 Capítulo 1 Título IV de la Resolución Rectoral 39475, Acuerdo Superior 419 de 2014; que consagra la obligación de consignar por escrito las cotizaciones obtenidas para la adquisición de bienes y servicios, informo que requiero contratar lo siguiente:</t>
  </si>
  <si>
    <t>Hemos consultado con las siguientes personas naturales y/o jurídicas, el valor del mismo así:</t>
  </si>
  <si>
    <t xml:space="preserve">De acuerdo con las cotizaciones recibidas, se decide contratar con </t>
  </si>
  <si>
    <t>por valor de</t>
  </si>
  <si>
    <t>GRUPO DE INVESTIGACIÓN:</t>
  </si>
  <si>
    <t>NOMBRE DEL INVESTIGADOR:</t>
  </si>
  <si>
    <t>NRO. DE IDENTIFICACIÓN:</t>
  </si>
  <si>
    <t>TELÉFONO:</t>
  </si>
  <si>
    <t>NOMBRE DE QUIEN FIRMA</t>
  </si>
  <si>
    <t>CARGO DE QUIEN FIRMA</t>
  </si>
  <si>
    <t>Profesional de Compras</t>
  </si>
  <si>
    <t>Siuudea2020*</t>
  </si>
  <si>
    <t>Diana Milena Jaramillo Vergara</t>
  </si>
  <si>
    <t>CLAVE DE PROTECCIÓN USUARIO</t>
  </si>
  <si>
    <t>CLAVE DE PROTECCIÓN DESARROLLO</t>
  </si>
  <si>
    <t>2Lb2s4d2l14c1</t>
  </si>
  <si>
    <t>No</t>
  </si>
  <si>
    <t>¿PROTEGIDO?</t>
  </si>
  <si>
    <t>NOMBRE CONTACTO GRUPO</t>
  </si>
  <si>
    <t>TELÉFONO CONTACTO</t>
  </si>
  <si>
    <t>INFORMACIÓN DEL PROYECTO ASOCIADO CON EL TRÁMITE</t>
  </si>
  <si>
    <t>CÓDIGO DEL PROYECTO</t>
  </si>
  <si>
    <t>DETALLE DEL TRÁMITE</t>
  </si>
  <si>
    <t>DESCRIPCIÓN DEL PRODUCTO</t>
  </si>
  <si>
    <t>CANTIDAD</t>
  </si>
  <si>
    <t>LINEAS DE PRODUCTOS</t>
  </si>
  <si>
    <t>Material didáctico y bibliográfico</t>
  </si>
  <si>
    <t>Material instrumental de laboratorio, plástico y vidriería</t>
  </si>
  <si>
    <t>Material de obra civil, ferretería, eléctricos, electrónicos e industriales</t>
  </si>
  <si>
    <t>Partes, piezas, repuestos y accesorios para equipos de laboratorio</t>
  </si>
  <si>
    <t>Equipos de laboratorio (inferiores a 30 SMMLV)</t>
  </si>
  <si>
    <t>Electrodomésticos, muebles y enseres</t>
  </si>
  <si>
    <t>CIUDAD</t>
  </si>
  <si>
    <r>
      <rPr>
        <b/>
        <i/>
        <sz val="12"/>
        <color rgb="FFC00000"/>
        <rFont val="Calibri"/>
        <family val="2"/>
        <scheme val="minor"/>
      </rPr>
      <t>NOTA</t>
    </r>
    <r>
      <rPr>
        <i/>
        <sz val="12"/>
        <color rgb="FFC00000"/>
        <rFont val="Calibri"/>
        <family val="2"/>
        <scheme val="minor"/>
      </rPr>
      <t>: Recuerde que la cotización a elegir será la más económica partiendo del principio de economía. En caso de seleccionar un proveedor por un concepto diferente, deberá justificar el por qué en el campo Observaciones.</t>
    </r>
  </si>
  <si>
    <t>VALOR O PRESUPUESTO ESTIMADO</t>
  </si>
  <si>
    <t>6. VALOR O PRESUPUESTO ESTIMADO</t>
  </si>
  <si>
    <t>TIPO DE TRÁMITE</t>
  </si>
  <si>
    <t xml:space="preserve">VALOR TOTAL PRECOTIZADO </t>
  </si>
  <si>
    <t>VALOR TOTAL DEL IVA</t>
  </si>
  <si>
    <t>VALOR TOTAL PRECOTIZADO + IVA</t>
  </si>
  <si>
    <t>18-1-636</t>
  </si>
  <si>
    <t>18-1-670</t>
  </si>
  <si>
    <t>18-1-858</t>
  </si>
  <si>
    <t>37-1-676</t>
  </si>
  <si>
    <t>37-1-759</t>
  </si>
  <si>
    <t>37-1-746</t>
  </si>
  <si>
    <t>37-1-824</t>
  </si>
  <si>
    <t>15-1-673</t>
  </si>
  <si>
    <t>15-1-677</t>
  </si>
  <si>
    <t>15-1-825</t>
  </si>
  <si>
    <t>15-1-843</t>
  </si>
  <si>
    <t>15-1-844</t>
  </si>
  <si>
    <t>15-1-864</t>
  </si>
  <si>
    <t>15-1-866</t>
  </si>
  <si>
    <t>14-1-733</t>
  </si>
  <si>
    <t>14-1-830</t>
  </si>
  <si>
    <t>14-1-869</t>
  </si>
  <si>
    <t>ES84170135</t>
  </si>
  <si>
    <t>ES84170137</t>
  </si>
  <si>
    <t>11-1-772</t>
  </si>
  <si>
    <t>ES84170132</t>
  </si>
  <si>
    <t>11-1-874</t>
  </si>
  <si>
    <t>11-1-886</t>
  </si>
  <si>
    <t>26-1-719</t>
  </si>
  <si>
    <t>24-1-748</t>
  </si>
  <si>
    <t>24-1-868</t>
  </si>
  <si>
    <t>ES84170121</t>
  </si>
  <si>
    <t>25-1-876</t>
  </si>
  <si>
    <t>20-1-669</t>
  </si>
  <si>
    <t>20-1-784</t>
  </si>
  <si>
    <t>31-1-794</t>
  </si>
  <si>
    <t>31-1-728</t>
  </si>
  <si>
    <t>12-1-692</t>
  </si>
  <si>
    <t>12-1-831</t>
  </si>
  <si>
    <t>13-1-771</t>
  </si>
  <si>
    <t>13-1-880</t>
  </si>
  <si>
    <t>51-1-884</t>
  </si>
  <si>
    <t>54-1-841</t>
  </si>
  <si>
    <t>07-1-664</t>
  </si>
  <si>
    <t>07-1-769</t>
  </si>
  <si>
    <t>07-1-826</t>
  </si>
  <si>
    <t>07-1-834</t>
  </si>
  <si>
    <t>07-1-908</t>
  </si>
  <si>
    <t>08-1-727</t>
  </si>
  <si>
    <t>08-1-715</t>
  </si>
  <si>
    <t>08-1-855</t>
  </si>
  <si>
    <t>08-1-865</t>
  </si>
  <si>
    <t>08-1-886</t>
  </si>
  <si>
    <t>08-1-901</t>
  </si>
  <si>
    <t>32-1-730</t>
  </si>
  <si>
    <t>52-1-701</t>
  </si>
  <si>
    <t>52-1-704</t>
  </si>
  <si>
    <t>52-1-705</t>
  </si>
  <si>
    <t>52-1-779</t>
  </si>
  <si>
    <t>52-1-894</t>
  </si>
  <si>
    <t>52-1-909</t>
  </si>
  <si>
    <t>47-1-821</t>
  </si>
  <si>
    <t>10-1-724</t>
  </si>
  <si>
    <t>10-1-839</t>
  </si>
  <si>
    <t>ES84170165</t>
  </si>
  <si>
    <t>10-1-716</t>
  </si>
  <si>
    <t>10-1-734</t>
  </si>
  <si>
    <t>10-1-773</t>
  </si>
  <si>
    <t>10-1-726</t>
  </si>
  <si>
    <t>10-1-879</t>
  </si>
  <si>
    <t>10-1-782</t>
  </si>
  <si>
    <t>10-1-882</t>
  </si>
  <si>
    <t>10-1-881</t>
  </si>
  <si>
    <t>10-1-899</t>
  </si>
  <si>
    <t>23-1-762</t>
  </si>
  <si>
    <t>23-1-885</t>
  </si>
  <si>
    <t>5-1-756</t>
  </si>
  <si>
    <t>5-1-859</t>
  </si>
  <si>
    <t>5-1-856</t>
  </si>
  <si>
    <t>5-1-867</t>
  </si>
  <si>
    <t>05-1-721</t>
  </si>
  <si>
    <t>58-1-862</t>
  </si>
  <si>
    <t>40-1-779</t>
  </si>
  <si>
    <t>50-1-788</t>
  </si>
  <si>
    <t>50-1-789</t>
  </si>
  <si>
    <t>50-1-906</t>
  </si>
  <si>
    <t>17-1-695</t>
  </si>
  <si>
    <t>22-1-790</t>
  </si>
  <si>
    <t>22-1-684</t>
  </si>
  <si>
    <t>22-1-878</t>
  </si>
  <si>
    <t>42-1-785</t>
  </si>
  <si>
    <t>09-1-832</t>
  </si>
  <si>
    <t>ES84170175</t>
  </si>
  <si>
    <t>09-1-895</t>
  </si>
  <si>
    <t>57-1-806</t>
  </si>
  <si>
    <t>57-1-807</t>
  </si>
  <si>
    <t>57-1-808</t>
  </si>
  <si>
    <t>57-1-809</t>
  </si>
  <si>
    <t>57-1-810</t>
  </si>
  <si>
    <t>57-1-811</t>
  </si>
  <si>
    <t>57-1-812</t>
  </si>
  <si>
    <t>57-1-813</t>
  </si>
  <si>
    <t>57-1-814</t>
  </si>
  <si>
    <t>57-1-815</t>
  </si>
  <si>
    <t>57-1-816</t>
  </si>
  <si>
    <t>57-1-817</t>
  </si>
  <si>
    <t>57-1-818</t>
  </si>
  <si>
    <t>57-1-819</t>
  </si>
  <si>
    <t>57-1-820</t>
  </si>
  <si>
    <t>57-1-845</t>
  </si>
  <si>
    <t>34-1-842</t>
  </si>
  <si>
    <t>34-1-776</t>
  </si>
  <si>
    <t>5-1-902</t>
  </si>
  <si>
    <t>5-1-897</t>
  </si>
  <si>
    <t>62-1-896</t>
  </si>
  <si>
    <t>Establecimiento de una plataforma biotecnológica para la innovación en biohidrocarburos a partir de microalgas</t>
  </si>
  <si>
    <t xml:space="preserve">Ingeniería genética: Estrategia molecular para el mejoramiento del proceso de producción ficobilirpoteinas a partir de la microalga Porphyridium cruentum </t>
  </si>
  <si>
    <t>Implementación de una plataforma biotecnológica basada en la producción de proteínas para el desarrollo de estrategias de biocontrol de patógenos en el cultivo de plátano (Musa AA)</t>
  </si>
  <si>
    <t>Desarrollo de catalizadores de FCC selectivos a coque que permitan disminuir las emisiones de CO2 en los regeneradores de estas unidades</t>
  </si>
  <si>
    <t>Producción de gas de síntesis a partir de gases de combustión industriales ricos en CO2 usando reacciones de tri-reformado</t>
  </si>
  <si>
    <t>Aprovechamiento sostenible de aceites esenciales para su valoración económica</t>
  </si>
  <si>
    <t>Desarrollo de cátodos híbridos para bacterias de ion litio aplicables a sistemas de generación intermitente y sistemas no integrados</t>
  </si>
  <si>
    <t>Desarrollo de materiales ligeros modificados para su aplicación en implementos para la movilidad en personas en situación de discapacidad</t>
  </si>
  <si>
    <t>Desarrollo de nuevos materiales semiconductores para la obtención de hidrógeno como combustible solar</t>
  </si>
  <si>
    <t>Obtención de nuevas aleaciones ligeras de alto valor agregado para contribuir al desarrollo de las indrustrias de Biomateriales y aeronáutica del País</t>
  </si>
  <si>
    <t>Development of a thermal energy storage system with a wide temperature range using a natural mineral mixture as porous support of a phase change material</t>
  </si>
  <si>
    <t>Preparación de biomateriales antimicrobianos solidos mediante inmovilizacion del peptido KR-12 y analogos en materiales siliceos, y evaluacion de su comportamiento en gel de fibrina para apositos. Codigo: 111577757023</t>
  </si>
  <si>
    <t>Preparación de membranas compuestas basadas en nanoparticulas en silicas mesoporosas funcioanles y poli(éter éter sulfona) sulfonada con potencial aplicación en celdas de combustible de metanol</t>
  </si>
  <si>
    <t>Preparación y caracterización de nanopartículas portadoras de Gusperimus con potencial aplicación en el proceso de implantación de islotes celulares para el tratamiento de la diabetes mellitus tipo 1.</t>
  </si>
  <si>
    <t>Preparación de polvos multifuncionales mediante proceso sol-gel de sílice y suevaluación in vitro como sistemas de dosificación de suplementos dietarios enzimáticos y minerales</t>
  </si>
  <si>
    <t>Evaluación de la presencia de Cryptosporidium parvum y Giardia lamblia en aguas crudas y tratadas en zonas rurales del Área Metropolitana del Valle de Aburra</t>
  </si>
  <si>
    <t>Comparación del efecto de diferentes sistemas de tratamiento de aguas residuales municipales en la dinámica de bacterias resistentes a antibióticos</t>
  </si>
  <si>
    <t>Proyecto para el diseño e implementación de un prototipo para la extracción de almidón a partir de papas de decarte con el objeto de generar un banco de prueba para estudios de valor agregado</t>
  </si>
  <si>
    <t>Tecnologías de oxidación avanzada basadas en radicales de aniones sulfato y su aplicación en la remoción de antibióticos</t>
  </si>
  <si>
    <t>Investigación temática para la construcción de euna propuesta educativa sobre la crianza apoyada en TIC, en la Vereda granizal, Bello, 2017-2020</t>
  </si>
  <si>
    <t>Dynamical phase transitions study in a Co1-xRux magnetic system of two-dimentional Ising-type.</t>
  </si>
  <si>
    <t>Entrelazamiento, coherencia y correlación en sistemas atómicos y moleculares</t>
  </si>
  <si>
    <t>Redes de espines interactuantes</t>
  </si>
  <si>
    <t xml:space="preserve">Estimación de riesgo de cáncer por exposición a reconocidos carcinógenos asociados al material particulado respirable en el Área Matropolitana del Valle de Aburrá (AMVA)- Antioquia </t>
  </si>
  <si>
    <t>Cambio climáticos durane las dos últimas centurias en los tres valles: Aburrá, San Nicolás y Santa fé de Antioquia por quimio estratigrafia de alta resolución asistida por micro fluorescencia - x (uXRF)</t>
  </si>
  <si>
    <t>Expedición virológica en ecosistemas representativos de Colombia: Selva húmeda tropical de la Sierra Nevada de Santa Marta</t>
  </si>
  <si>
    <t>Prevalencia y modelación de la infección por virus de la hepatitis C en Colombia</t>
  </si>
  <si>
    <t>Análisis estructural y funcional de las proteínas Presenilina 1 y presenilina-2 componentes del complejo gama secretasa y su relación con la enfermedad de Alzheimer familiar</t>
  </si>
  <si>
    <t xml:space="preserve">Desarrollo de un prototipo fitoterapeútico basado en triterpenos encapsulados en nanovehículos para el tratamiento de la diabetes mellitus tipo 2 </t>
  </si>
  <si>
    <t>Citogenotoxicidad geográfica de contaminantes atmosféricos</t>
  </si>
  <si>
    <t>DENGUE: Disfunción Endotelial-Nuevo Giro que Urge en el Enfoque fisiopatológico para entender la enfermedad</t>
  </si>
  <si>
    <t>Desarrollo de nuevos péptidos derivados de la crotalicidina como potenciales agentes antimicrobinas para el tratamiento de aislados clínicos de Staphylococcus aures resistente a antibióticos (63040)</t>
  </si>
  <si>
    <t>Disección genetica de los errores innatos de la inmunidad</t>
  </si>
  <si>
    <t>Inmunological and Genetic characterization of Colombian patients with Epidermodysplasia Verruciformis (EV) and Recalcitrant Warts (RW)</t>
  </si>
  <si>
    <t>Identifying Monogenic inborn errors of innate immunity underlying fungal and parasites infections in Colombian Patients</t>
  </si>
  <si>
    <t>Disección genetica de los errores congémitos de la inmunidad innata. ECOS-Nord</t>
  </si>
  <si>
    <t>Descubriendo las bases genéticas humanas de la tuberculosis (TB) y la susceptibilidad mendeliana a las enfermedades micobacterianas (MSMD) en pacientes colombianos VIH negativos.</t>
  </si>
  <si>
    <t>Evaluación del papel de la vitamina D en la expresión de receptores tipo Toll, citoquinas y microRNA en respuesta a la infección por los virus Chikungunya y Zika</t>
  </si>
  <si>
    <t>Potential inmunognicity of mutated epitopes derived from HIV-1 gag restricted to CD8+ T cells in chronically infected patients from medellin.</t>
  </si>
  <si>
    <t>Role of circulating follucular t cells in the spontaneous or haart-induced control of hiv replication</t>
  </si>
  <si>
    <t>Evaluación del efecto de la infección del virus Zika y virus Chikungunya en la activación de monocitos y espermatozoides</t>
  </si>
  <si>
    <t>Efecto del uso de inhibidores de integrasa en la reconstitución virológica e inmunológica de pacientes con infección por el VIH</t>
  </si>
  <si>
    <t xml:space="preserve">Perfil transcriptómico para determinar el papel de la vitamina D en la modulación de la respuesta inflamatoria, antiviral y estrés celular en macrófagos infectados por el virus del dengue. </t>
  </si>
  <si>
    <t xml:space="preserve">Síntesis y caracterización de péptidos a partir de venenos de arañas: hacia el desarrollo de nuevos antimicrobianos </t>
  </si>
  <si>
    <t>Nanobioiengineering for therasnostic of infectious Diseases</t>
  </si>
  <si>
    <t>Biophysical Theory and Analysis of Biomolecules: Towards the targeting of tropical diseases</t>
  </si>
  <si>
    <t>Identifyting the male and female derived reproductive molecules required for optimal fertility in aedes aeypti females</t>
  </si>
  <si>
    <t>Convenio de Cooperación Max Planck - Colciencias -UdeA (Global)</t>
  </si>
  <si>
    <t xml:space="preserve">Nanobiosensores para la detección rapida de SARS-CoV-2 </t>
  </si>
  <si>
    <t>Identificación y caracterización de las proteínas del fluido seminal del vector del dengue (Aedes aegypti) necesarias para la reproducción, como blancos potenciales para el control de las poblaciones de mosquitos en Colombia.</t>
  </si>
  <si>
    <t>DRUA WANDRA. Caracterización de la Flora y Fauna de los sitios sagrados de polines y yaberadó, resguardos del pueblo Embera de Chigorodó (Antioquia)</t>
  </si>
  <si>
    <t>Parkinsons disease genetic risk factors in Latino populations</t>
  </si>
  <si>
    <t xml:space="preserve">Desarrollo de cultivos 3D de pacientes con Alzheimer PSEN1 E280A con aplicación en diseños terapéuticos </t>
  </si>
  <si>
    <t>Factores fosfolípidicos convergentes en tauopatía, daño cognitivo y demencia vascular: causas agudas, crónicas y genéticas</t>
  </si>
  <si>
    <t>Implicación de los Astrocitos de Alzheimer en la estabilidad de la unidad neurovascular: hacia un desarrollo biotecnológico</t>
  </si>
  <si>
    <t>Astrocitos-CDK5 RNAi como modulador de la sinápsis: Perspectiva en terapia celular</t>
  </si>
  <si>
    <t>Estudio preclínico de moléculas promisorias en el tratamiento de pacientes pediatricos con leusemias agudas con mala respuesta a los tratamientos convencionales</t>
  </si>
  <si>
    <t>Desarrollo del proceso de formulación del prototipo LEUKOPOP 2T y su estudio farmacológico en un modelo de leucemia</t>
  </si>
  <si>
    <t xml:space="preserve">Riesgo asociado a infecciones persistentes por diferentes agentes infecciosos y el desarrollo de la enfermedad de Alzheimer </t>
  </si>
  <si>
    <t>Diseño de una terapia combinada para el tratamiento de la enfermedad de Alzheimer familiar con mutación en la presenilina 1</t>
  </si>
  <si>
    <t>Medidas dinámicas de calidad y desempeño visual usando óptica adaptativa y óptica activa</t>
  </si>
  <si>
    <t>Uso de bacteriófagos líticos para el manejo del Moko del plátano y evaluar su efectividad e impacto a nivel de campo</t>
  </si>
  <si>
    <t>Antilehismanial arnica preparations</t>
  </si>
  <si>
    <t>Búsqueda y validación de nuevos inhibidores de los transportadores de membrana de la familia MMPL de Mycobacterium tuberculosis como nuevos agentes antimicrobianos con potencial terapéutico</t>
  </si>
  <si>
    <t>Validación biofísica y funcional de un inhibidor alostérico del dominio pleckstrin de la quinasa AKT-like de Trypanosoma cruzi como alternativa terapéutica para la enfermedad de Chagas.</t>
  </si>
  <si>
    <t>Identificación de nuevos RNA pequeños no codificantes exosomales y de sus mecanísmos angiogénicos en cáncer cervical y de colón</t>
  </si>
  <si>
    <t>Propiedades redox de perovskitas LaBO3 (B: Mn, Fe, Co, Ni) y su efecto sobre la oxidación de Co</t>
  </si>
  <si>
    <t>Búsqueda de metabolitos secundarios anti virulentos como estrategia para el control del patógeno Klebsiella Pneumoniae, fase II</t>
  </si>
  <si>
    <t>Nuevos derivados y análogos estructurales de coronatina como potenciales inductores de mecanismos de defensa contra hongos fitopatógenos en variedades nativas de frijol</t>
  </si>
  <si>
    <t>Agentes causantes del crecimiento de cianobacterias productoras de toxinas en embalses de agua de consumo y pesca</t>
  </si>
  <si>
    <t>Factores asociados al reintegro ocupacional un año después en pacientes con  trauma craneocenfálico (TCE) moderado y grave ocurrido en Medellín y su área metropolitana entre 2018 y 2019</t>
  </si>
  <si>
    <t>EFECTO DEL LICOPENO DE CITRULLUS LANATUS (SANDÍA) EN EL ESTRÉS OXIDATIVO EN</t>
  </si>
  <si>
    <t>Generación de energía eléctrica a pequeña escala mediante turbinas hidráulicas y hidrocinéticas</t>
  </si>
  <si>
    <t>Desarrollo nacional de tecnología solar fotovoltaica de última generación e implementación de sistemas de alto desempeño para las condiciones climáticas Colombianas.</t>
  </si>
  <si>
    <t>Diseño, simulación y construcción de un prototipo de generador eólico para bajas velocidades de viento utilizando un material biocompuesto a partir de fibras naturales Colombianas</t>
  </si>
  <si>
    <t>Sistemas de almacenamiento de energía para fuentes de generación intermitentes basados en baterías secundarias de ion-litio e hidrógeno</t>
  </si>
  <si>
    <t>Evaluación de procesos de densificación de residuo agrícola de corte (RAC) de caña de azúcar aptos para su utilización como fuente de energía renovable</t>
  </si>
  <si>
    <t>Valoración energética de residuos sólidos urbanos y agroindustriales</t>
  </si>
  <si>
    <t>Desarrollo y evaluación de un paquete tecnológico para la valorización energética del contenido ruminal en frigoríficos de exportación y mataderos municipales</t>
  </si>
  <si>
    <t>Producción mejorada de Gas Natural Sintético a partir de residuos orgánicos y de emisiones industriales de CO2 mediante reacciones de gasificación y metanación</t>
  </si>
  <si>
    <t>Desarrollo de un sistema "power to gas" (PTG) en el contexto de las fuentes de energía renovables y convencionales disponible en la Guajira</t>
  </si>
  <si>
    <t>Ajuste, escalado y evaluación en condiciones de procesos productivos industriales de sistemas de combustión avanzados de alta eficiencia energética y bajas emisiones</t>
  </si>
  <si>
    <t>Estrategias de suministro dual de combustibles gaseosos y líquidos en vehículos semipesados del sector transporte colombiano para el aumento de la eficiencia energética y la reducción de contaminantes</t>
  </si>
  <si>
    <t>Implementación de un kit de inyección de etanol hidratado para disminuir el consumo de diésel y las emisiones contaminantes en sistemas de transporte y aplicaciones estacionarias</t>
  </si>
  <si>
    <t>Integración y gestión inteligente de las fuentes de energía renovable para propiciar la sostenibilidad energética</t>
  </si>
  <si>
    <t>Una metodología para la planeación, gestión y operación de microrredes eléctricas, adaptadas al contexto regional colombiano, basada en análisis multiobjetivo y multicriterio, bajo condiciones de incertidumbre y tiempo real</t>
  </si>
  <si>
    <t>Evaluación económico-ambiental de alternativas de aprovechamiento de recursos renovables regionales para la generación de energía eléctrica</t>
  </si>
  <si>
    <t>Desarrollo piloto-industrial de un ingrediente de cacao rico en flavanoles absorbibles: Innovación tecnológica aplicada al incremento de la competitividad de la industria cacaotera - SGR</t>
  </si>
  <si>
    <t xml:space="preserve">Rastreo biodirigidode moléculas anticancerigenas inspiradas en productos naturales: Un enfoque integrado y aplicado a las especies amaryllidaceae </t>
  </si>
  <si>
    <t>Desarrollo de implantes cardiovasculares degradables de magnesio: evaluaciones in vivo</t>
  </si>
  <si>
    <t>FORMACIÓN DE ALTO NIVEL UNIVERSIDAD DE ANTIOQUIA   NACIONAL (BECAS DE EXCELENCIA DOCTORAL)</t>
  </si>
  <si>
    <t>NOMBRE ARCHIVO</t>
  </si>
  <si>
    <t>Solicitud_Tramite</t>
  </si>
  <si>
    <t>RUTA ARCHIVO</t>
  </si>
  <si>
    <t>C:\Documentos_Solicitud</t>
  </si>
  <si>
    <t>RUTA BD PROVEEDORES</t>
  </si>
  <si>
    <t>LÍNEA GENERAL/LÍNEA ESPECÍFICA DE PRODUCTO</t>
  </si>
  <si>
    <t>Reactivos/Comerciales</t>
  </si>
  <si>
    <t>Reactivos/Analíticos</t>
  </si>
  <si>
    <t>Alimentos y elementos agropecuarios/Animales</t>
  </si>
  <si>
    <t>Alimentos y elementos agropecuarios/Humanos</t>
  </si>
  <si>
    <t>Gases y mezclas/Gases especiales</t>
  </si>
  <si>
    <t>Gases y mezclas/Mezclas de gases</t>
  </si>
  <si>
    <t>Gases y mezclas/Nitrógeno líquido</t>
  </si>
  <si>
    <t>Gases y mezclas/Aceesorios para gases</t>
  </si>
  <si>
    <t>Insumos y dotación/Papelería, tintas y toners</t>
  </si>
  <si>
    <t>Insumos y dotación/Cafetería</t>
  </si>
  <si>
    <t>Insumos y dotación/Aseo</t>
  </si>
  <si>
    <t xml:space="preserve">Insumos y dotación/Dotación seguridad industrial </t>
  </si>
  <si>
    <t>Insumos y dotación/Farmaceúticos y medicamentos</t>
  </si>
  <si>
    <t>Insumos y dotación/Otros (viruta, heno, etc.)</t>
  </si>
  <si>
    <t>Tecnología, computadores, impresoras y otros/Escritorio</t>
  </si>
  <si>
    <t>Tecnología, computadores, impresoras y otros/Portátil</t>
  </si>
  <si>
    <t>Tecnología, computadores, impresoras y otros/Estación de trabajo (workstation)</t>
  </si>
  <si>
    <t>Tecnología, computadores, impresoras y otros/Servidores</t>
  </si>
  <si>
    <t>Tecnología, computadores, impresoras y otros/Tablets</t>
  </si>
  <si>
    <t>Tecnología, computadores, impresoras y otros/Softwares y licencias</t>
  </si>
  <si>
    <t>Tecnología, computadores, impresoras y otros/Accesorios informáticos</t>
  </si>
  <si>
    <t>Tecnología, computadores, impresoras y otros/Impresoras</t>
  </si>
  <si>
    <t>TEXTO OBSERVACIÓN</t>
  </si>
  <si>
    <t>ARGUMENTOS SELECCIÓN</t>
  </si>
  <si>
    <t>Cumplimiento de características técnicas que se requieren en el proyecto</t>
  </si>
  <si>
    <t>Menor precio</t>
  </si>
  <si>
    <t>Mejor tiempo de entrega</t>
  </si>
  <si>
    <t>Argumento #1:</t>
  </si>
  <si>
    <t>Argumento #2:</t>
  </si>
  <si>
    <t>Argumento #3:</t>
  </si>
  <si>
    <t>Argumento #4:</t>
  </si>
  <si>
    <t>5-1-914</t>
  </si>
  <si>
    <t>13-1-910</t>
  </si>
  <si>
    <t>ADMINISTRACIÓN</t>
  </si>
  <si>
    <t>BIOPROCESOS</t>
  </si>
  <si>
    <t>BIOTECNOLOGÍA</t>
  </si>
  <si>
    <t>CARCINOGENESIS</t>
  </si>
  <si>
    <t>CENTAURO</t>
  </si>
  <si>
    <t>CIDEMAT</t>
  </si>
  <si>
    <t>CITOMETRÍA</t>
  </si>
  <si>
    <t>CRESCA</t>
  </si>
  <si>
    <t>GAIA</t>
  </si>
  <si>
    <t>GASURE</t>
  </si>
  <si>
    <t>GIMEL</t>
  </si>
  <si>
    <t>GMMT</t>
  </si>
  <si>
    <t>GRIPE</t>
  </si>
  <si>
    <t>OPTICA</t>
  </si>
  <si>
    <t>PECET</t>
  </si>
  <si>
    <t>PHYSIS</t>
  </si>
  <si>
    <t>REPRODUCCIÓN</t>
  </si>
  <si>
    <t>SÉNECA</t>
  </si>
  <si>
    <t>GRUPO DE PROYECTO</t>
  </si>
  <si>
    <t>NOMBRE DE PROYECTO</t>
  </si>
  <si>
    <t>CATÁLISIS_AMBIENTAL</t>
  </si>
  <si>
    <t>CIENCIA_DE_LOS_MATERIALES</t>
  </si>
  <si>
    <t>DIAGNÓSTICO_Y_CONTROL_DE_LA_CONTAMINACIÓN</t>
  </si>
  <si>
    <t>DIDÁCTICA_Y_NUEVAS_TECNOLOGÍAS</t>
  </si>
  <si>
    <t>DIRECCIÓN_DE_POSGRADOS</t>
  </si>
  <si>
    <t>ALIMENTACIÓN_Y_NUTRICIÓN_HUMANA</t>
  </si>
  <si>
    <t>BIOLOGIA_Y_CONTROL_DE_ENFERMEDADES_INFECCIOSAS_-_BCEI</t>
  </si>
  <si>
    <t>CATALIZADORES_Y_ADSORBENTES</t>
  </si>
  <si>
    <t>ESTADO_SÓLIDO</t>
  </si>
  <si>
    <t>FENOMENOLOGÍA_DE_INTERACCIONES_FUNDAMENTALES</t>
  </si>
  <si>
    <t>FÍSICA_ATÓMICA</t>
  </si>
  <si>
    <t>FONDO_ANIMALES_LABORATORIO</t>
  </si>
  <si>
    <t>GENÉTICA_MOLECULAR</t>
  </si>
  <si>
    <t>GENÉTICA_Y_BIOQUÍMICA_DE_MICROORGANISMOS</t>
  </si>
  <si>
    <t>Grupo_de_Bioquímica_Estructural_de_Macromoléculas</t>
  </si>
  <si>
    <t>HISTORIA_DE_LA_PRÁCTICA_PEDAGÓGICA_EN_COLOMBIA</t>
  </si>
  <si>
    <t>INMUNODEFICIENCIAS_PRIMARIAS</t>
  </si>
  <si>
    <t>INVESTIGACIÓN_Y_DESARROLLO_EN_INGENIERIA_WEB</t>
  </si>
  <si>
    <t>LABORATORIO_DE_INVESTIGACIÓN_EN_POLÍMEROS(LIPOL)</t>
  </si>
  <si>
    <t>MAX_PLANCK</t>
  </si>
  <si>
    <t>MEDICINA_MOLECULAR_Y_DE_TRASLACIÓN</t>
  </si>
  <si>
    <t>MEDIO_AMBIENTE_Y_SOCIEDAD</t>
  </si>
  <si>
    <t>PROCESOS_FISICOQUIMICOS_APLICADOS</t>
  </si>
  <si>
    <t>PROCESOS_QUIMICOS_INDUSTRIALES</t>
  </si>
  <si>
    <t>QUÍMICA_DE_RECURSOS_ENERGÉTICOS</t>
  </si>
  <si>
    <t>QUÍMICA_ORGÁNICA_DE_PRODUCTOS_NATURALES</t>
  </si>
  <si>
    <t>REHABILITACIÓN_EN_SALUD</t>
  </si>
  <si>
    <t>SUSTANCIAS_BIOACTIVAS</t>
  </si>
  <si>
    <t>GENÉTICA_REGENERACIÓN_Y_CÁNCER</t>
  </si>
  <si>
    <t>NOMBRE INV. PPAL</t>
  </si>
  <si>
    <t>ID. INV. PPAL</t>
  </si>
  <si>
    <t>Adriana Echavarría Isaza</t>
  </si>
  <si>
    <t>Adriana Lucia Pabón Vidal</t>
  </si>
  <si>
    <t>Aida Luz Villa Holguín</t>
  </si>
  <si>
    <t xml:space="preserve">Alberto León Gutiérrez Tamayo </t>
  </si>
  <si>
    <t>Alberto López Herrera</t>
  </si>
  <si>
    <t>Alberto Tobón Castaño</t>
  </si>
  <si>
    <t>Alejandro Berrio Escobar</t>
  </si>
  <si>
    <t>Alejandro Mira Agudelo</t>
  </si>
  <si>
    <t>Alejandro Ramírez Vélez</t>
  </si>
  <si>
    <t>Alexander Santamaría Palacio</t>
  </si>
  <si>
    <t xml:space="preserve">Alexandra P Urán Carmona </t>
  </si>
  <si>
    <t xml:space="preserve">Alvaro Luis Morales Aramburo </t>
  </si>
  <si>
    <t>Amanda E Maestre Buitrago</t>
  </si>
  <si>
    <t>Ana Cecilia Mesa Arango</t>
  </si>
  <si>
    <t>Ana Eugenia Arango Restrepo</t>
  </si>
  <si>
    <t>Ana María López Palacio</t>
  </si>
  <si>
    <t>Ana Maria Vasquez Cardona</t>
  </si>
  <si>
    <t>Andrés Amell Arrieta</t>
  </si>
  <si>
    <t xml:space="preserve">Andres Augusto Arias Sierra </t>
  </si>
  <si>
    <t>Andrés Felipe Agudelo Santamaría</t>
  </si>
  <si>
    <t>Angela Patricia Cadavid Jaramillo</t>
  </si>
  <si>
    <t>Arley Fabio Ossa Montoya</t>
  </si>
  <si>
    <t>Aura Inés Urrea Trujillo</t>
  </si>
  <si>
    <t xml:space="preserve">Ayda Cecilia Galvez Abadia </t>
  </si>
  <si>
    <t>Beatriz Elena Parra Sossa</t>
  </si>
  <si>
    <t xml:space="preserve">Betty Lucy López Osorio </t>
  </si>
  <si>
    <t>Carlos Alberto Quintero Valencia</t>
  </si>
  <si>
    <t>98528354</t>
  </si>
  <si>
    <t>Carlos Alberto Vélez Pardo</t>
  </si>
  <si>
    <t>Carlos Andrés Villegas Lanau</t>
  </si>
  <si>
    <t>Carlos Eduardo Ostos</t>
  </si>
  <si>
    <t xml:space="preserve">Carlos Enrique Muskus López </t>
  </si>
  <si>
    <t>Carlos Julio Montoya Guarín</t>
  </si>
  <si>
    <t>Carmen Rosa Forero Amórtegui</t>
  </si>
  <si>
    <t xml:space="preserve">Carmiña Gartner Vargas </t>
  </si>
  <si>
    <t xml:space="preserve">Carolina Camargo Gil </t>
  </si>
  <si>
    <t>Carolina Ospina Villegas</t>
  </si>
  <si>
    <t>Carolina Torres Gutiérrez</t>
  </si>
  <si>
    <t>Cesar Augusto Barrero Meneses</t>
  </si>
  <si>
    <t>César Hernando Segura Latorre</t>
  </si>
  <si>
    <t>Claudia María Velásquez Rodríguez</t>
  </si>
  <si>
    <t>Claudia Milena Trujillo Vargas</t>
  </si>
  <si>
    <t>Claudia Patricia Nohavá Bravo</t>
  </si>
  <si>
    <t>Daniel Estiben Ramiez Zora</t>
  </si>
  <si>
    <t>Daniel Felipe Patiño Lugo</t>
  </si>
  <si>
    <t>98669763</t>
  </si>
  <si>
    <t>David Alexander Ramírez Cadavid</t>
  </si>
  <si>
    <t>David Antonio Pineda Salazar</t>
  </si>
  <si>
    <t xml:space="preserve">Diana Catalina Rodriguez Loaiza </t>
  </si>
  <si>
    <t>Diana Lucia Hernández Bustamante</t>
  </si>
  <si>
    <t>Diana María Castaño Monsalve</t>
  </si>
  <si>
    <t>Diana Patricia López López</t>
  </si>
  <si>
    <t xml:space="preserve">Diego Alejandro Gaitán Charry </t>
  </si>
  <si>
    <t xml:space="preserve">Diego Alejandro Quintero Restrepo </t>
  </si>
  <si>
    <t>Diego Fernando Rojas Vahos</t>
  </si>
  <si>
    <t>Dora Ines Chaverra Fernandez</t>
  </si>
  <si>
    <t>Doris Adriana Ramirez Salazar</t>
  </si>
  <si>
    <t>Doris Amalia Giratá Lozano</t>
  </si>
  <si>
    <t>Duverney de Jesús Chaverra Rodríguez</t>
  </si>
  <si>
    <t>Edgar Alberto Rueda Muñoz</t>
  </si>
  <si>
    <t>Edison Javier Osorio Durango</t>
  </si>
  <si>
    <t>Eduardo Francisco Caicedo Bravo</t>
  </si>
  <si>
    <t>Edwin Lenin Chica Arrieta</t>
  </si>
  <si>
    <t>Eliana María Arango Flórez</t>
  </si>
  <si>
    <t xml:space="preserve">Elkin de Jesus Galeano Jaramillo </t>
  </si>
  <si>
    <t>Elkin Gregorio Flórez Serrano</t>
  </si>
  <si>
    <t>Erika Yuvelyre Torrejón Cardona</t>
  </si>
  <si>
    <t>Fabian Alberto Jaimes Barragan</t>
  </si>
  <si>
    <t>Fabio Alonso Salinas Duran</t>
  </si>
  <si>
    <t>71586613</t>
  </si>
  <si>
    <t>Felipe Bustamante Londoño</t>
  </si>
  <si>
    <t>Félix Echeverría Echeverría</t>
  </si>
  <si>
    <t xml:space="preserve">Francisco Javier Bolivar Osorio </t>
  </si>
  <si>
    <t>Francisco Javier Díaz Castrillón</t>
  </si>
  <si>
    <t xml:space="preserve">Francisco Jose Molina Perez </t>
  </si>
  <si>
    <t xml:space="preserve">Francisco Lopera Restrepo </t>
  </si>
  <si>
    <t>Frank William Avila</t>
  </si>
  <si>
    <t>Franklin Jaramillo Isaza</t>
  </si>
  <si>
    <t xml:space="preserve">Gabriel Bedoya Berrio </t>
  </si>
  <si>
    <t xml:space="preserve">Gabriel Jaime Arango Acosta </t>
  </si>
  <si>
    <t>Gabriel Jaime Vélez Cuartas</t>
  </si>
  <si>
    <t>German Moreno</t>
  </si>
  <si>
    <t>Gladys Auxilio Toro Bedoya</t>
  </si>
  <si>
    <t>Gloria Esperanza Moyano</t>
  </si>
  <si>
    <t>Gloria Eugenia Campillo Figueroa</t>
  </si>
  <si>
    <t>Gloria Maria Agudelo Ochoa</t>
  </si>
  <si>
    <t>Gloria María Restrepo Vásquez</t>
  </si>
  <si>
    <t>Gloria Patricia Cardona Gómez</t>
  </si>
  <si>
    <t>Gustavo Antonio Peñuela Mesa</t>
  </si>
  <si>
    <t>Henry Nelson Zuñiga Benitez</t>
  </si>
  <si>
    <t xml:space="preserve">Idalyd Fonseca González </t>
  </si>
  <si>
    <t>Iván Darío Bedoya L.</t>
  </si>
  <si>
    <t>Iván Darío Vélez Bernal</t>
  </si>
  <si>
    <t>Jahir Orozco Holguín</t>
  </si>
  <si>
    <t xml:space="preserve">Jaime Alberto Osorio Vélez </t>
  </si>
  <si>
    <t xml:space="preserve">Jaime Alberto Palacio Baena </t>
  </si>
  <si>
    <t>Jaime Alejandro Valencia Velásquez</t>
  </si>
  <si>
    <t>Jaime Andrés Gallego Marín</t>
  </si>
  <si>
    <t>Jaime Carmona Fonseca</t>
  </si>
  <si>
    <t xml:space="preserve">Javier Rosique Gracia </t>
  </si>
  <si>
    <t xml:space="preserve">Jean Paul Delgado Charris </t>
  </si>
  <si>
    <t>Jesús Alberto Echeverrí Sánchez</t>
  </si>
  <si>
    <t>Jhon Fredy Barrera Ramírez</t>
  </si>
  <si>
    <t>Jhon Jairo Fernández Hincapié</t>
  </si>
  <si>
    <t>Johans Restrepo Cárdenas</t>
  </si>
  <si>
    <t>John Ramiro Agudelo Santamaría</t>
  </si>
  <si>
    <t>Jorge Andrés Calderón Gutiérrez</t>
  </si>
  <si>
    <t>Jorge Andrés Moreno Lopera</t>
  </si>
  <si>
    <t>Jorge Eduardo Mahecha Gómez</t>
  </si>
  <si>
    <t xml:space="preserve">Jorge Eliécer López </t>
  </si>
  <si>
    <t>Jorge Fernando Zapata Duque</t>
  </si>
  <si>
    <t>Jose Domingo  Torres Hernández</t>
  </si>
  <si>
    <t>José Luis Sanz Vicario</t>
  </si>
  <si>
    <t>José Manuel Serrano Alvarez</t>
  </si>
  <si>
    <t>José Robinsón Ramírez Pineda</t>
  </si>
  <si>
    <t>Juan Alvaro López Quintero</t>
  </si>
  <si>
    <t>Juan Camilo Villegas Palacio</t>
  </si>
  <si>
    <t>Juan Carlos Gallego Gómez</t>
  </si>
  <si>
    <t xml:space="preserve">Juan David Rodas González </t>
  </si>
  <si>
    <t>Juan Esteban Pérez Jaramillo</t>
  </si>
  <si>
    <t>Juan Fernando Alzate Restrepo</t>
  </si>
  <si>
    <t>Juan Fernando Espinal</t>
  </si>
  <si>
    <t>Juan Fernando Saldarriaga</t>
  </si>
  <si>
    <t>Juan Guillermo Castaño González</t>
  </si>
  <si>
    <t>Juan Guillermo Maldonado Estrada</t>
  </si>
  <si>
    <t xml:space="preserve">Julián Paul Martínez Galán </t>
  </si>
  <si>
    <t>Katherine Gilchrist Ramelli</t>
  </si>
  <si>
    <t>Kelly Payares Álvarez</t>
  </si>
  <si>
    <t>32644551</t>
  </si>
  <si>
    <t>León Dario Pérez Pérez</t>
  </si>
  <si>
    <t xml:space="preserve">Ligia Sierra García </t>
  </si>
  <si>
    <t xml:space="preserve">Liliana Maria Sánchez Mazo </t>
  </si>
  <si>
    <t>Lina María Carrillo Bonilla</t>
  </si>
  <si>
    <t>Lina María González Rodríguez</t>
  </si>
  <si>
    <t>Lucía Atehortúa Garcés</t>
  </si>
  <si>
    <t>Luis  Fernando Arias Restrepo</t>
  </si>
  <si>
    <t>Luis Alberto Rios</t>
  </si>
  <si>
    <t>Luis Alejandro Fletscher Bocanegra</t>
  </si>
  <si>
    <t>Luis Eduardo Enríquez Obando</t>
  </si>
  <si>
    <t>Luis Fernando Echeverri López</t>
  </si>
  <si>
    <t>Luis Fernando Giraldo Morales</t>
  </si>
  <si>
    <t>Luis Fernando Torres Roldán</t>
  </si>
  <si>
    <t>Luis Guillermo Duque Ramírez</t>
  </si>
  <si>
    <t>Luz Consuelo Valencia Ramírez</t>
  </si>
  <si>
    <t>Luz Elena Veláquez Trujillo</t>
  </si>
  <si>
    <t>Luz Helena Lugo Agudelo</t>
  </si>
  <si>
    <t>24320834</t>
  </si>
  <si>
    <t>Marcel Marín Villa</t>
  </si>
  <si>
    <t>Marcela Manrique Moreno</t>
  </si>
  <si>
    <t>Margarita Maria Arroyave Palacio</t>
  </si>
  <si>
    <t xml:space="preserve">María Consuelo Jaramillo Flórez </t>
  </si>
  <si>
    <t>Maria Cristina Navas Navas</t>
  </si>
  <si>
    <t>María Elena Maldonado Celis</t>
  </si>
  <si>
    <t>Maria Eugenia Moreno Fernandez</t>
  </si>
  <si>
    <t xml:space="preserve">María Isabel Soto Marin </t>
  </si>
  <si>
    <t xml:space="preserve">Maria Teresa Flórez Molina </t>
  </si>
  <si>
    <t>Maria Teresa Rugeles López</t>
  </si>
  <si>
    <t>Mariana Peñuela Vásquez</t>
  </si>
  <si>
    <t>Maribel Barreto Mesa</t>
  </si>
  <si>
    <t>Mario Eduardo Archila Melendez</t>
  </si>
  <si>
    <t>Mario Fernando Cerón Muñoz</t>
  </si>
  <si>
    <t>Mario Sergio Castro Gómez</t>
  </si>
  <si>
    <t>Marlen Martínez Gutiérrez</t>
  </si>
  <si>
    <t>Marlene  Jimenez del Rio</t>
  </si>
  <si>
    <t>Marlon Bastidas</t>
  </si>
  <si>
    <t xml:space="preserve">Martha Lucía Quiñones  </t>
  </si>
  <si>
    <t>Maryori Astrid Gómez Botero</t>
  </si>
  <si>
    <t xml:space="preserve">Mauricio Corredor Rodríguez </t>
  </si>
  <si>
    <t>Mauricio Rojas Lopez</t>
  </si>
  <si>
    <t>Miguel Ángel Mendivil Pérez</t>
  </si>
  <si>
    <t>Monica Lucia Giraldo Restrepo</t>
  </si>
  <si>
    <t>Mónica Mesa Cadavid</t>
  </si>
  <si>
    <t xml:space="preserve">Mónica Pérez Marin </t>
  </si>
  <si>
    <t>Monica Rondon Cotacio</t>
  </si>
  <si>
    <t>Natalia Andrea Herrera Loaiza</t>
  </si>
  <si>
    <t>Natalia Andrea Taborda</t>
  </si>
  <si>
    <t>Natalia Gaviria Gómez</t>
  </si>
  <si>
    <t>Natalia Yiset Becerra Ospina</t>
  </si>
  <si>
    <t>Nelson Vanegas Arbeláez</t>
  </si>
  <si>
    <t>Nestor Aguirre Ramírez</t>
  </si>
  <si>
    <t xml:space="preserve">Nicolás Jaramillo Ocampo </t>
  </si>
  <si>
    <t>Nicolás Muñoz Galeano</t>
  </si>
  <si>
    <t>Nohora Helena Villa</t>
  </si>
  <si>
    <t>Norman Balcazar Morales</t>
  </si>
  <si>
    <t>Octavio Henao Álvarez</t>
  </si>
  <si>
    <t xml:space="preserve">Olga María Agudelo García </t>
  </si>
  <si>
    <t xml:space="preserve">Omar Alfredo Cantillo Barraza </t>
  </si>
  <si>
    <t xml:space="preserve">Omar Triana Chávez </t>
  </si>
  <si>
    <t xml:space="preserve">Omar Vesga Meneses </t>
  </si>
  <si>
    <t>Oscar Luis Arnache Olmos</t>
  </si>
  <si>
    <t>Paula Andrea Velilla Hernandez</t>
  </si>
  <si>
    <t>Paula Marcela Montoya Izquierdo</t>
  </si>
  <si>
    <t>Pilar Cossio Tejada</t>
  </si>
  <si>
    <t>Rafael Andrés Posada Duque</t>
  </si>
  <si>
    <t>Raúl Leonardo Nárvaez Sánchez</t>
  </si>
  <si>
    <t>Rodrigo de Jesús Castaño Llano</t>
  </si>
  <si>
    <t>Rodrigo Henao</t>
  </si>
  <si>
    <t>Rosa María Bolivar Osorio</t>
  </si>
  <si>
    <t>Rosalba Durán Forero</t>
  </si>
  <si>
    <t>Sandra Milena Navarro Gallón</t>
  </si>
  <si>
    <t xml:space="preserve">Sandra Turbay Ceballos </t>
  </si>
  <si>
    <t xml:space="preserve">Sara Lugo Márquez </t>
  </si>
  <si>
    <t>Sara María Robledo Restrepo</t>
  </si>
  <si>
    <t>Sergio Acin Martinez</t>
  </si>
  <si>
    <t>Silvio Urcuqui Inchima</t>
  </si>
  <si>
    <t>Tatiana María Lopera Mesa</t>
  </si>
  <si>
    <t>Verónica Tangarife Castaño</t>
  </si>
  <si>
    <t>Victor Alexander  Yarza De Los Rios</t>
  </si>
  <si>
    <t>Viviana Andrea Cardona Pemberthy</t>
  </si>
  <si>
    <t>Walter Arley Torres Sepúlveda</t>
  </si>
  <si>
    <t>Walter Darío Cardona Maya</t>
  </si>
  <si>
    <t>Wildeman Zapata Builes</t>
  </si>
  <si>
    <t>Wilson Alonso Ruiz Machado</t>
  </si>
  <si>
    <t>Wilson Antonio Bolivar Buritica</t>
  </si>
  <si>
    <t>Wiston Williams Quiñones Fletcher</t>
  </si>
  <si>
    <t>Yahir Enrique González Doria</t>
  </si>
  <si>
    <t>-</t>
  </si>
  <si>
    <t>SOLICITUD DE TRÁMITE PARA COMPRAS INFERIORES A 30 SMMLV</t>
  </si>
  <si>
    <t>Rafael Rios Beltran</t>
  </si>
  <si>
    <t>Wbeimar Aguilar Jiménez</t>
  </si>
  <si>
    <t>Evaluación a nivel piloto de alternativas para el tratamiento de compuestos orgánicos persistentes (COPs)</t>
  </si>
  <si>
    <t>Evaluación de una prueba rápida de detección de antígeno y la cuantificación del genoma viral como marcadores de infección y de contagiosidad en la infección por SARS-CoV-2 en una población del Área Metropolitana del Valle de Aburrá.</t>
  </si>
  <si>
    <t>Evaluación in silico e in vitro de la actividad anti-SARS-CoV-2 de medicamentos de segundo uso.</t>
  </si>
  <si>
    <t>Fortalecimiento de la  Colección Colombiana de Helmintos mediante la modernización de infraestructura, curaduría del acervo biológico y divulgación en línea a través de la SiB Colombia para fomentar nuevas oportunidades de colaboración entre taxónomos de diferentes áreas y colecciones helmintológicas a nivel mundial</t>
  </si>
  <si>
    <t>11-1-921</t>
  </si>
  <si>
    <t>11-1-929</t>
  </si>
  <si>
    <t>08-1-919</t>
  </si>
  <si>
    <t>08-1-920</t>
  </si>
  <si>
    <t>23-1-925</t>
  </si>
  <si>
    <t>5-1-870</t>
  </si>
  <si>
    <t>17-1-911</t>
  </si>
  <si>
    <t>17-1-923</t>
  </si>
  <si>
    <t>5-1-917</t>
  </si>
  <si>
    <t>5-1-924</t>
  </si>
  <si>
    <t>\\172.30.200.20\Publico\BD_Proveedores.xlsx</t>
  </si>
  <si>
    <t>GRID</t>
  </si>
  <si>
    <t>15-1-932</t>
  </si>
  <si>
    <t>Desde residuos del petróleo hacia materiales para dispositivos de almacenamiento de energía de alta potencia. CV84200105</t>
  </si>
  <si>
    <t>15-1-939</t>
  </si>
  <si>
    <t>Desarrollo de recubrimientos antibacteriales nanoestructurados por medio de procesos ambientalmente sostenibles para su aplicación en la industria nacional</t>
  </si>
  <si>
    <t>15-1-944</t>
  </si>
  <si>
    <t>Síntesis y caracterización de poliuretanos a partir de aceite de girasol y quitosano, libres de isocianatos, con propiedades antibacteriales</t>
  </si>
  <si>
    <t>ES84190050</t>
  </si>
  <si>
    <t>Extensión 2021</t>
  </si>
  <si>
    <t>29-2-003-2021</t>
  </si>
  <si>
    <t>Seguimiento del SARS-CoV-2 en aguas residuales de municipios Covid y No- Covid 19 del departamento de Antioquia, como herramienta de monitoreo epidemiológico, alerta temprana y apoyo a la toma de decisiones en salud pública.</t>
  </si>
  <si>
    <t>11-1-931</t>
  </si>
  <si>
    <t>11-1-938</t>
  </si>
  <si>
    <t xml:space="preserve">Identificación de la arquitectura genómica de isla de resistencia en el resistoma de Pseudomonas aruginosas Pseudonomas </t>
  </si>
  <si>
    <t>63-1-943</t>
  </si>
  <si>
    <t>Establecimiento del modelo GBA con la mutación K198E de pacientes con Parkinson en Antioquia</t>
  </si>
  <si>
    <t>Aprovechamiento del potencial energético de residuos agrícolas disponibles en Colombia para generar electricidad, mediante procesos termoquímicos de gasificación. CV84200104</t>
  </si>
  <si>
    <t>50-1-935</t>
  </si>
  <si>
    <t>Producción de diesel renovable mediante hidrotratamiento de ácidos grasos derivados de residuos animales. CV84200103</t>
  </si>
  <si>
    <t>50-1-940</t>
  </si>
  <si>
    <t>Evaluación de la producción en continuo de biocrudo mediante la licuefacción hidrotérmica de microalgas altamente eficientes para capturar CO2.  CV84200108</t>
  </si>
  <si>
    <t>50-1-941</t>
  </si>
  <si>
    <t>17-1-934</t>
  </si>
  <si>
    <t xml:space="preserve">Validación precomercial de un nuevo biofungicida de uso agrícola para la protección de cultivos </t>
  </si>
  <si>
    <t>22-1-912</t>
  </si>
  <si>
    <t>ES84190024</t>
  </si>
  <si>
    <t>5-1-937</t>
  </si>
  <si>
    <t>Evaluación del uso potencial de relaves generados en la extracción de minerales en el proyecto Quebradona municipio de Jericó. Aplicación en el mejoramiento de propiedades ingenieriles de suelos viales. CV84200102</t>
  </si>
  <si>
    <t>40-1-927</t>
  </si>
  <si>
    <t>Implementación de la cooperación entre la Universidad y el experimento CMS de la Organización Europea para la Investigación Nuclear - CERN</t>
  </si>
  <si>
    <t>ES03160200</t>
  </si>
  <si>
    <t>ES84180124</t>
  </si>
  <si>
    <t>ES84190058</t>
  </si>
  <si>
    <t>ES84180115</t>
  </si>
  <si>
    <t>ES84190064</t>
  </si>
  <si>
    <t>Fijación de CO2 en epóxidos de aceites esenciales para la síntesis de carbonatos cíclicos mediante procesos catalíticos heterogéneos</t>
  </si>
  <si>
    <t>ES84200113</t>
  </si>
  <si>
    <t>ES84180112</t>
  </si>
  <si>
    <t>Desarrollo y fabricación de componentes para celdas solares de perovskita a escala semi-industrial</t>
  </si>
  <si>
    <t>ES84190158</t>
  </si>
  <si>
    <t>ES84180145</t>
  </si>
  <si>
    <t>ES84200102</t>
  </si>
  <si>
    <t>11-1-675</t>
  </si>
  <si>
    <t>ES84180118</t>
  </si>
  <si>
    <t>ES84190073</t>
  </si>
  <si>
    <t>ES84180152</t>
  </si>
  <si>
    <t>ES84180123</t>
  </si>
  <si>
    <t>ES84180154</t>
  </si>
  <si>
    <t>Mutaciones del Virus de la Hepatitis B asociadas a resistencia al tratamiento con el análogo de nucleósido (Entecavir) en pacientes sin tratamiento previo y pacientes en esquema de tratamiento</t>
  </si>
  <si>
    <t>31-1-947</t>
  </si>
  <si>
    <t>Identificación de potenciales blancos terapéuticos a partir de triterpenos presentes en Eucalyptus tereticornis para el tratamiento de complicaciones asociadas a la obesidad.</t>
  </si>
  <si>
    <t>12-1-731</t>
  </si>
  <si>
    <t>ES84180105</t>
  </si>
  <si>
    <t>ES84190065</t>
  </si>
  <si>
    <t>ES84190106</t>
  </si>
  <si>
    <t>Papel de microRNA, expresados en macrófagos diferenciados con vitamina D, en la modulación de la respuesta inflamatoria inducida por el DENV-2</t>
  </si>
  <si>
    <t>08-1-678</t>
  </si>
  <si>
    <t>ES84180102</t>
  </si>
  <si>
    <t>Programas de expresión génica modulados por la vitamina D en macrófagos en respuesta a la infección por virus dengue</t>
  </si>
  <si>
    <t>ES84200147</t>
  </si>
  <si>
    <t>ES84180131</t>
  </si>
  <si>
    <t>ES84180116</t>
  </si>
  <si>
    <t>ES84180101</t>
  </si>
  <si>
    <t>ES84180141</t>
  </si>
  <si>
    <t>ES84190063</t>
  </si>
  <si>
    <t>Validación In Silico e In vitro del potencial Antiviral de moléculas obtenidas por bioprospección contra proteínas estructurales y no estructurales del Virus Dengue</t>
  </si>
  <si>
    <t>5-1-786</t>
  </si>
  <si>
    <t>ES84180108</t>
  </si>
  <si>
    <t>Papel de la mionectina en la regulación del metabolismo lipídico en el síndrome metabólico</t>
  </si>
  <si>
    <t>58-1-948</t>
  </si>
  <si>
    <t>Evaluación de aceites industriales usados en el desarrollo de un estabilizante químico de suelos viales</t>
  </si>
  <si>
    <t>ES84200108</t>
  </si>
  <si>
    <t>Desarrollo de poliuretanos renovables basados en bioglicerol y tecnologías eficientes de fijación de CO2</t>
  </si>
  <si>
    <t>ES84200110</t>
  </si>
  <si>
    <t>ES84180117</t>
  </si>
  <si>
    <t>ES84190029</t>
  </si>
  <si>
    <t>Polímeros inhibidores de la formación de biopelículas-Prueba de concepto</t>
  </si>
  <si>
    <t>22-1-889</t>
  </si>
  <si>
    <t>CromaLeish, ungüento para el tratamiento tópico de la leishmaniasis cutánea humana y canina</t>
  </si>
  <si>
    <t>5-1-890</t>
  </si>
  <si>
    <t>Evaluación de la capacidad antitumoralinvitro e invivo de extractos biológicos obtenidos de las plantas sacha inchi y moringa oreifera en cáncer gástrico. CV84200107</t>
  </si>
  <si>
    <t>FORTALECIMIENTO DE CAPACIDADES DE INVESTIGACIÓN EN LA UNIVERSIDAD DE ANTIOQUIA</t>
  </si>
  <si>
    <t>49-2-946</t>
  </si>
  <si>
    <t>Frecuencia de síntomas de prostatitis en los hombres del Área Metropolitana del Valle de Aburrá - Antioquia y su efecto sobre la fertilidad.</t>
  </si>
  <si>
    <t>Filtros catalíticos para el control de compuestos orgánicos volátiles (COV): integración de las etapas tecnológicas y productivas hacia la creación de una línea de negocio</t>
  </si>
  <si>
    <t>Hidrólisis con Alta Carga de Sólidos de Raquis de Palma Pretratado por LHW: Una Alternativa Económica a la Producción de Etanol de Segunda Generación</t>
  </si>
  <si>
    <t>Producción de diésel renovable de aceite de Higuerilla mediante el desarrollo de un proceso continuo sostenible</t>
  </si>
  <si>
    <t>Producción de un material  polimércio tipo-poliuretano sin isocianato, para aplicaciones adhesivos o plastificantes, a partir de aceite de ricino y quitosano</t>
  </si>
  <si>
    <t>Desarrollo de una nueva tecnología a partir de un asfalto natural para su aplicación en infraestructura vial</t>
  </si>
  <si>
    <t>Desarrollo de control positivo para la verificación de la sensibilidad y especificidad del diagnóstico de Covid 19</t>
  </si>
  <si>
    <t>Prevalencia, caracterización genética y distribución geográfica de los virus influenza tipo A en granjas porcinas de Colombia</t>
  </si>
  <si>
    <t>Control de campos ópticos en tiempo real aplicado a la visualización de información</t>
  </si>
  <si>
    <t>Sistemas formadores de vórtices ópticos mediante máscaras de fase discretizada: Análisis de carga topológica, momento angular orbital y aplicaciones metrológicas</t>
  </si>
  <si>
    <t>Estudio del efecto del gen LRRK2 nulo en un modelo neuronal de Parkinson: Estrategia Terapéutica</t>
  </si>
  <si>
    <t>Nanoestructuras de aleaciones magnéticas de FeMB(M=Cu, Ni, Zr): Una contribución al entendimiento del efecto magnetocalórico”</t>
  </si>
  <si>
    <t>Desarrollo de un biosensor óptico para el seguimiento en línea de plaguicidas organofosforados presentes en aguas.</t>
  </si>
  <si>
    <t>Diseño, evaluación y optimización de sistemas biológicos para el tratamiento del agua residual producto de la extracción de almidón de papa.</t>
  </si>
  <si>
    <t>Monitoreo de contaminantes orgánicos persistentes  (COPs) en Colombia</t>
  </si>
  <si>
    <t>Preparación y caracterización de nanopartículas de albúmina funcionalizadas con trastuzumab para transportar paclitaxel con potencial aplicación para tratamiento de cáncer gástrico</t>
  </si>
  <si>
    <t>Fabricación de celdas solares de última generación a partir de dispersiones coloidales estables y compatibles con métodos de fabricación escalables.</t>
  </si>
  <si>
    <t>Desarrollo de las espinelas LixM2-yTiyO4 y NaxLi1-xM2yTiyO4+5 como cátodo en baterías de ion-litio</t>
  </si>
  <si>
    <t>Desarrollo de aleaciones Ti1-x Mgx Y Mg1-x Tix con bajos contenidos de aleante</t>
  </si>
  <si>
    <t>Simultaneous catalytic elimination of nitrogen oxides and organochlorine compunds over Pd/Co catalysts</t>
  </si>
  <si>
    <t xml:space="preserve"> Alistar técnica y operativamente la infraestructura especializada  en propagación in-vitro y ex – vitro y adecuación de nuevas áreas para el establecimiento de nuevos negocios</t>
  </si>
  <si>
    <t>56-1-796</t>
  </si>
  <si>
    <t>Desarrollo e implementación de estrategias biotecnológicas para el mejoramiento de la propagación de Material Élite de cacao en Antioquia.</t>
  </si>
  <si>
    <t>56-1-797</t>
  </si>
  <si>
    <t>Consolidar un equipo humano especializado en la gestión de bionegocios y en la aplicación de la biotecnología</t>
  </si>
  <si>
    <t>56-1-798</t>
  </si>
  <si>
    <t>Implementar un sistema experto de información y comunicación que permita el fortalecimiento de los encadenamientos productivos del sector agropecuario</t>
  </si>
  <si>
    <t>56-1-799</t>
  </si>
  <si>
    <t xml:space="preserve"> Implementar modelo gestión operativa y financiera para el CEDAIT</t>
  </si>
  <si>
    <t>56-1-800</t>
  </si>
  <si>
    <t xml:space="preserve"> Inicio de operaciones de la Biofábrica de semillas </t>
  </si>
  <si>
    <t>56-1-801</t>
  </si>
  <si>
    <t>Diseño de un portafolio de servicios tecnológicos, asesoría, consultoría, asistencia técnica, capacitación y desarrollo in situ de prácticas y modelamiento</t>
  </si>
  <si>
    <t>56-1-802</t>
  </si>
  <si>
    <t xml:space="preserve"> Implementar un modelo de transferencia de tecnología blanda en las Subregiones del Bajo Cauca, Urabá y Suroeste  </t>
  </si>
  <si>
    <t>56-1-803</t>
  </si>
  <si>
    <t>Administración e Interventoría proyecto CEDAIT</t>
  </si>
  <si>
    <t>56-1-804</t>
  </si>
  <si>
    <t>Evaluación de la roca fosfórica y escorias de acería como materias primas para el desarrollo de cementos de fosfato de hierro para aplicaciones en materiales de construcción</t>
  </si>
  <si>
    <t>15-1-770</t>
  </si>
  <si>
    <t>Mixed metal oxides for high voltage Li-ion batteries: a searching by stability and safety</t>
  </si>
  <si>
    <t>15-1-951</t>
  </si>
  <si>
    <t>ES84190066</t>
  </si>
  <si>
    <t>DIDÁCTICA_Y_NUEVAS_TECNOLOGÍAS_</t>
  </si>
  <si>
    <t>Efecto citotóxico, genotóxico y epigenético de la adición de nanomateriales carbonosos en motores de combustión interna operando en modo dual con gas natural en un modelo celular in-vitro. Elemento PEP CV84200109</t>
  </si>
  <si>
    <t>12-1-949</t>
  </si>
  <si>
    <t>Efecto de ROS sobre la transcripción de genes y vías de señalización asociadas a actividad redox durante la regeneración de cola de Ambystoma</t>
  </si>
  <si>
    <t>Carga de la enfermedad y calidad de vida de pacientes adultos y adolescentes con eccema atópico-Caracterización clínica y sociodemográfica</t>
  </si>
  <si>
    <t>ES84190039</t>
  </si>
  <si>
    <t>Evaluación de las potencialidades de la microscopia sin lentes soportada en técnicas de aprendizaje profundo en el diagnóstico de malaria</t>
  </si>
  <si>
    <t>32-1-950</t>
  </si>
  <si>
    <t>52-1-703
se paso su ejecución para el 52-1-779</t>
  </si>
  <si>
    <t>52-1-780
se paso su ejecución para el 52-1-704</t>
  </si>
  <si>
    <t>52-1-781
se paso su ejecución para el 52-1-701</t>
  </si>
  <si>
    <t>Evaluación del efecto de derivados de la planta Cannabis sativa en un modelo de Parkinson: Uso medicinal de la marihuana en el oriente antioqueño</t>
  </si>
  <si>
    <t>Análisis cinético del proceso de desarrollo de resistencia a antimoniales pentavalentes empleando perfiles transcrioptómicos y metabolómicos, en Leishmania (Viannia) panamensis.</t>
  </si>
  <si>
    <t>Caracterización bioquímica y funcional de una serina/treonina quinasa B-like putativa de Trypanosoma cruzi, y evaluación preliminar in vitro de su potencial como blanco macológico para la enfermedad de Chagas (Programáticas)</t>
  </si>
  <si>
    <t>ES84200146</t>
  </si>
  <si>
    <t>Validación de la sensibilidad, especificidad, estabilidad y calidad, de un buffer de lisis directa empleado en el diagnóstico de COVID19.</t>
  </si>
  <si>
    <t>5-1-913</t>
  </si>
  <si>
    <t>Búsqueda activa de casos de violencia contra las mujeres en el municipio de Sabaneta durante el confinamiento obligatorio por COVID-19</t>
  </si>
  <si>
    <t>5-1-918</t>
  </si>
  <si>
    <t>Plataforma para el desarrollo de molusquicidas naturales para control biológico de moluscos hospedadores de helmintos y de importancia agropecuaria</t>
  </si>
  <si>
    <t>Competencia vectorial de poblaciones de Aedes aegypti (Diptera: Culicidae) de Santander, frente a la infección/coinfección por virus Dengue y Chikungunya</t>
  </si>
  <si>
    <t xml:space="preserve">Desarrollo de un respirador mecánico con dispositivo de sanitización de aire hasta escala comercial.  
 </t>
  </si>
  <si>
    <t>Uso de nanomateriales carbonosos como aditivos en diésel para motores de combustión interna operando en modo dual con gas natural y su efecto en el rendimiento, emisiones contaminantes y daño celular (código: 70848). Elemento PEP CV84200109</t>
  </si>
  <si>
    <t>Preparación de nuevos agentes antimaláricos análogos estructurales de 1,1-dioxotiocromen-4-onas como potenciales inhibidores de reductasas de Plasmodium</t>
  </si>
  <si>
    <t>ES84200136</t>
  </si>
  <si>
    <t>ES84190049</t>
  </si>
  <si>
    <t xml:space="preserve">Mecanismos de daño y disfunción endotelial en el síndrome antifosfolípido: ¿hay diferencia de acuerdo a las manifestaciones clínicas del síndrome? 
</t>
  </si>
  <si>
    <t>Sistema Interinstitucional Integrado para la Articulación Científica (SIIAC). Componente de fortalecimiento institucional para la Alianza</t>
  </si>
  <si>
    <t>Juan Camilo Calderón</t>
  </si>
  <si>
    <t>Estudio del efecto de la adición de nanomateriales carbonosos sobre la combustión, 
rendimiento y emisiones de motores de encendido por compresión operando con diésel y en 
modo dual con gas natural. (código: 70447). Elemento PEP CV84200109</t>
  </si>
  <si>
    <t>45-1-958</t>
  </si>
  <si>
    <t xml:space="preserve">MALARIA </t>
  </si>
  <si>
    <t>Desarrollo del aplicativo de diversidad alimentaria</t>
  </si>
  <si>
    <t>46-1-953</t>
  </si>
  <si>
    <t>Estudio de las condiciones de cultivo de 3 especies de microalgas con potencial aplicación para la producción de productos de alto valor agregado (LC-PUFAs)</t>
  </si>
  <si>
    <t>ES84200132</t>
  </si>
  <si>
    <t>Catalizadores de Óxidos Mixtos Funcionalizados sobre Nanotubos de Carbón y su Evaluación en la Reacción de Oxidación de Tolueno</t>
  </si>
  <si>
    <t>49-1-954</t>
  </si>
  <si>
    <t>Aplicación de la nanotecnología al desarrollo de materiales basa-dos en magnesio para almacenamiento de hidrógeno, con el fin de contribuir a viabilizar su uso como combustible limpio en sistemas de transporte, código: 69950</t>
  </si>
  <si>
    <t>15-1-961</t>
  </si>
  <si>
    <t>Generación de hidrógeno de bajo impacto ambiental mediante el aprovechamiento de energías renovables, para su posterior uso como combustible limpio en sistemas de transporte, código: 69960</t>
  </si>
  <si>
    <t>15-1-962</t>
  </si>
  <si>
    <t>Desarrollo de un prototipo de ge-neración eléctrica de 1 kw basado en celdas de combustible poliméricas aniónicas, AEMFC, con hidró-geno como combustible, código: 70743</t>
  </si>
  <si>
    <t>15-1-963</t>
  </si>
  <si>
    <t xml:space="preserve"> Análisis de la percentilización de las
características físicas y motrices de los niños y niñas en edad escolar.  en la investigación: “Escolar Antioqueño”</t>
  </si>
  <si>
    <t>55-1-936</t>
  </si>
  <si>
    <t>ES84160101</t>
  </si>
  <si>
    <t>Mantenimiento correctivo del sistema de medidas de propiedades físicas – PPMS</t>
  </si>
  <si>
    <t>24-1-928</t>
  </si>
  <si>
    <t>ES84190062</t>
  </si>
  <si>
    <t>Estudio de las alteraciones funcionales inducidas por la interacción de la proteína s (spike) del sars-cov-2 con monocitos/ macrófagos y células del epitelio respiratorio diferenciado</t>
  </si>
  <si>
    <t>31-1-955</t>
  </si>
  <si>
    <t>La docencia como práctica del decir verdad social y singularidades del decir en escuelas públicas del municipio de Medellín</t>
  </si>
  <si>
    <t>36-1-956</t>
  </si>
  <si>
    <t>Microevolución del sars-cov-2 en medellín durante la pandemia de covid-19 de 2020-2021</t>
  </si>
  <si>
    <t>08-1-955</t>
  </si>
  <si>
    <t>Nanoformulados de neem (Azadirachta indica) en la lucha antivectorial para la prevención de la malaria y el dengue</t>
  </si>
  <si>
    <t>32-1-959</t>
  </si>
  <si>
    <t>Urbanismo inclusivo: estudio de caso de la agricultura urbana en ciudades intermedias</t>
  </si>
  <si>
    <t>47-1-957</t>
  </si>
  <si>
    <t>Evaluación de la implementación del programa de intervención en cognición social en comunidades crónicamente expuestas al conflicto</t>
  </si>
  <si>
    <t>10-1-960</t>
  </si>
  <si>
    <t>Neurobiología comparada del aprendizaje del canto en aves basada en el análisis estructural de los astrocitos (Programática)</t>
  </si>
  <si>
    <t>ES84200137</t>
  </si>
  <si>
    <t>Valorización del gas proveniente de la torrefacción de
biomasa, mediante captura de CO2 y combustión en un quemador de lecho poroso</t>
  </si>
  <si>
    <t>17-1-907</t>
  </si>
  <si>
    <t xml:space="preserve">Uso de oxido grafeno y nanotubos de carbono como aditivos a mezclas diésel-biodiésel y su efecto en la eficiencia térmica y las emisiones contaminantes de un motor de encendido por compresión estacionario </t>
  </si>
  <si>
    <t>17-1-905</t>
  </si>
  <si>
    <t>Análisis de medicamento como fuente de resistencia microbiana en las bacterias patogénicas Escherichia coli, Staphylococcus aureus y Pseudomonas aeruginosa vía Quorum Sensing (Programática)</t>
  </si>
  <si>
    <t>ES84200127</t>
  </si>
  <si>
    <t>Cuantificación de Compuestos Farmacéuticamente Activos (CFAc) y Bacterias patógenas en aguas residuales y de riego, suelo y alimentos mediante técnicas de nueva generación: Planteamiento de alternativas para su eliminación, código 69598</t>
  </si>
  <si>
    <t>65-1-964</t>
  </si>
  <si>
    <t>Prototipo para la generación de especies radicales oxidantes para el tratamiento de aguas residuales – GEROs, código 70183</t>
  </si>
  <si>
    <t>65-1-965</t>
  </si>
  <si>
    <t>Aplicación de Procesos Avanzados de Oxidación para la Remoción de CEC, código 70216</t>
  </si>
  <si>
    <t>65-1-966</t>
  </si>
  <si>
    <t>Remediación_Ambiental_y_Biocatálisis</t>
  </si>
  <si>
    <t>Estrategia para la Sostenibilidad 2018-2019 Biotecnología</t>
  </si>
  <si>
    <t>Estrategia de Sostenibilidad 2020-2021 Biotecnología</t>
  </si>
  <si>
    <t>Estrategia para la sostenibilidad 2018-2019 Catálisis Ambiental</t>
  </si>
  <si>
    <t>Estrategia de Sostenibilidad 2020-2021 Catálisis Ambiental</t>
  </si>
  <si>
    <t>Estrategia para la sostenibilidad 2018-2019 CIDEMAT</t>
  </si>
  <si>
    <t>Estrategia para la sostenibilidad 2020-2021 CIDEMAT</t>
  </si>
  <si>
    <t>Estrategia para la sostenibilidad 2018-2019 Ciencia de los Materiales</t>
  </si>
  <si>
    <t>Estrategia de Sostenibilidad 2020-2021 Ciencia de los Materiales</t>
  </si>
  <si>
    <t>Estrategia de Sostenibilidad 2018-2019 GDCON</t>
  </si>
  <si>
    <t>Estrategia de Sostenibilidad 2020-2021 GDCON</t>
  </si>
  <si>
    <t>Estrategia de Sostenibilidad 2018-2019 Didácticas</t>
  </si>
  <si>
    <t>Estrategia para la Sostenibilidad 2018-2019 Estado Sólido</t>
  </si>
  <si>
    <t>Estrategia para la sostenibilidad 2018-2019 Física Atómica</t>
  </si>
  <si>
    <t>Estrategia para la sostenibilidad 2018-2019 GIMEL</t>
  </si>
  <si>
    <t>Estrategia de Sostenibilidad 2020-2021  GIMEL</t>
  </si>
  <si>
    <t>Estrategia para la sostenibilidad 2018-2020 GMMT</t>
  </si>
  <si>
    <t>Estrategia de Sostenibilidad 2020-2021 Inmunovirología</t>
  </si>
  <si>
    <t>Estrategia para la sostenibilidad 2018-2019 MASO</t>
  </si>
  <si>
    <t>Estrategia para la sostenibilidad 2018-2019 Óptica</t>
  </si>
  <si>
    <t>Estrategia de Sostenibilidad 2020-2021  Óptica</t>
  </si>
  <si>
    <t>Estrategia para la sostenibilidad 2018-2019 PECET</t>
  </si>
  <si>
    <t>Estrategia de Sostenibilidad 2020-2021 Reproducción</t>
  </si>
  <si>
    <t>Estrategia de Sostenibilidad 2020-2021 Rehabilitación en Salud</t>
  </si>
  <si>
    <t>Estrategia para la Sostenibilidad 2016-2017 Estado Sólido</t>
  </si>
  <si>
    <t>Estrategia para la sostenibilidad 2020-2021 Estado Sólido</t>
  </si>
  <si>
    <t>Estrategia de Sostenibilidad 2018-2019 Inmunovirología</t>
  </si>
  <si>
    <t>Estrategia para la sostenibilidad 2016-2017 Malaria</t>
  </si>
  <si>
    <t>Estrategia para la sostenibilidad 2018-2020 Óptica</t>
  </si>
  <si>
    <t>Estrategia para la sostenibilidad 2018-2019 Quirema</t>
  </si>
  <si>
    <t>Estrategia de Sostenibilidad 2020-2021 QOPN</t>
  </si>
  <si>
    <t>Evaluación del papel de la vitamina D en la expresión de receptores tipo Toll, citoquinas y microRNA en respuesta a la infección por los virus Chikungunya y Zika - Andrés Castillo</t>
  </si>
  <si>
    <t>08-1-697</t>
  </si>
  <si>
    <t>CIENCIA DE LOS MATERIALES</t>
  </si>
  <si>
    <t>Ganancia de peso gestacional de adolescentes latinoamericanas y su asociación con el peso al nacer del neonato</t>
  </si>
  <si>
    <t>46-1-969</t>
  </si>
  <si>
    <t>Estudio del efecto catalítico de un carbón mesoporoso en un cátodo para baterías sodio-aire</t>
  </si>
  <si>
    <t>ES84200122</t>
  </si>
  <si>
    <t>Ruben Alberto Palacio Olarte</t>
  </si>
  <si>
    <t>Publicaciones</t>
  </si>
  <si>
    <t>Inscripciones a evento</t>
  </si>
  <si>
    <t>Asistencia técnica</t>
  </si>
  <si>
    <t>Honorarios</t>
  </si>
  <si>
    <t>Flete</t>
  </si>
  <si>
    <t>Licencias/software</t>
  </si>
  <si>
    <t>¿CONTRAPARTIDA UDEA?</t>
  </si>
  <si>
    <t>Estrategia de sostenibilidad 2020-2021 grupo quirema</t>
  </si>
  <si>
    <t>ES84190055</t>
  </si>
  <si>
    <t>One Health Surveillance in the Colombian Pacific Coast- CV84200111</t>
  </si>
  <si>
    <t>32-1-985</t>
  </si>
  <si>
    <t>5-1-989</t>
  </si>
  <si>
    <t>Prueba de Prueba de Concepto para “Hidrogel cicatrizante</t>
  </si>
  <si>
    <t>Toxinología_Alternativas_Terapéuticas_y_Alimentarias</t>
  </si>
  <si>
    <t>64-1-971</t>
  </si>
  <si>
    <t>Evaluación de formulaciones nanoestructuradas de extractos de Cannabis encapsulados en micelas poliméricas para el tratamiento del dolor crónico</t>
  </si>
  <si>
    <t>Dora María Benjumea Gutiérrez</t>
  </si>
  <si>
    <t>Evaluación pre-clínica de una nonoformulación basada en un extracto natural con potencial actividad antiobesogénica y antidiabética</t>
  </si>
  <si>
    <t>12-1-1000</t>
  </si>
  <si>
    <t>Extracto estandarizado de triterpenos nano-vehiculizados que modulan la hiperglucemia y resistencia a la insulina en biomodelos de pre-diabetes tipo 2 asociada con obesidad</t>
  </si>
  <si>
    <t>12-1-1011</t>
  </si>
  <si>
    <t>Se realiza compra, ya que es una adquisición de insumos necesarios para la investigación científica y el desarrollo tecnológico y de nuevos productos y procesos, derivado del proyecto de investigación:</t>
  </si>
  <si>
    <t>Sandra Lucía Restrepo Mesa</t>
  </si>
  <si>
    <t>Estado nutricional materno, ingesta dietética y microbiota de la leche materna</t>
  </si>
  <si>
    <t>46-1-970</t>
  </si>
  <si>
    <t>Aprovechamiento de la biodiversidad en la medicina de traslación: hacia la validación de la efectividad terapéutica de una formulación leishmanicida en pacientes humanos y/o caninos con leishmaniasis cutánea. Elemento PEP: CV84210101
Convocatoria 903-2021</t>
  </si>
  <si>
    <t>5-1-1001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</si>
</sst>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quot;$&quot;* #,##0_);_(&quot;$&quot;* \(#,##0\);_(&quot;$&quot;* &quot;-&quot;_);_(@_)"/>
    <numFmt numFmtId="165" formatCode="_(* #,##0_);_(* \(#,##0\);_(* &quot;-&quot;_);_(@_)"/>
    <numFmt numFmtId="166" formatCode="&quot;$&quot;\ #,##0.00"/>
    <numFmt numFmtId="167" formatCode="_(&quot;$&quot;* #,##0.00_);_(&quot;$&quot;* \(#,##0.00\);_(&quot;$&quot;* &quot;-&quot;_);_(@_)"/>
  </numFmts>
  <fonts count="15" x14ac:knownFonts="1">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sz val="10"/>
      <color theme="1"/>
      <name val="Calibri"/>
      <family val="2"/>
      <scheme val="minor"/>
    </font>
    <font>
      <b/>
      <sz val="10"/>
      <color theme="1"/>
      <name val="Calibri"/>
      <family val="2"/>
      <scheme val="minor"/>
    </font>
    <font>
      <sz val="12"/>
      <color theme="1"/>
      <name val="Calibri"/>
      <family val="2"/>
      <scheme val="minor"/>
    </font>
    <font>
      <b/>
      <sz val="11"/>
      <color theme="1"/>
      <name val="Calibri"/>
      <family val="2"/>
      <scheme val="minor"/>
    </font>
    <font>
      <sz val="10.5"/>
      <color theme="1"/>
      <name val="Calibri"/>
      <family val="2"/>
      <scheme val="minor"/>
    </font>
    <font>
      <b/>
      <sz val="13"/>
      <color theme="1"/>
      <name val="Calibri"/>
      <family val="2"/>
      <scheme val="minor"/>
    </font>
    <font>
      <i/>
      <sz val="11"/>
      <color theme="1"/>
      <name val="Calibri"/>
      <family val="2"/>
      <scheme val="minor"/>
    </font>
    <font>
      <i/>
      <sz val="12"/>
      <color rgb="FFC00000"/>
      <name val="Calibri"/>
      <family val="2"/>
      <scheme val="minor"/>
    </font>
    <font>
      <b/>
      <i/>
      <sz val="12"/>
      <color rgb="FFC00000"/>
      <name val="Calibri"/>
      <family val="2"/>
      <scheme val="minor"/>
    </font>
    <font>
      <sz val="11"/>
      <name val="Calibri"/>
      <family val="2"/>
      <scheme val="minor"/>
    </font>
    <font>
      <sz val="9"/>
      <color theme="1"/>
      <name val="Calibri"/>
      <family val="2"/>
      <scheme val="minor"/>
    </font>
  </fonts>
  <fills count="6">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
      <patternFill patternType="solid">
        <fgColor rgb="FF92D05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165" fontId="1" fillId="0" borderId="0" applyFont="0" applyFill="0" applyBorder="0" applyAlignment="0" applyProtection="0"/>
    <xf numFmtId="164" fontId="1" fillId="0" borderId="0" applyFont="0" applyFill="0" applyBorder="0" applyAlignment="0" applyProtection="0"/>
  </cellStyleXfs>
  <cellXfs count="164">
    <xf numFmtId="0" fontId="0" fillId="0" borderId="0" xfId="0"/>
    <xf numFmtId="0" fontId="0" fillId="0" borderId="0" xfId="0" applyProtection="1">
      <protection locked="0"/>
    </xf>
    <xf numFmtId="0" fontId="0" fillId="0" borderId="0" xfId="0" applyAlignment="1" applyProtection="1">
      <alignment vertical="center"/>
      <protection locked="0"/>
    </xf>
    <xf numFmtId="0" fontId="4" fillId="0" borderId="1" xfId="0" applyFont="1" applyBorder="1" applyAlignment="1" applyProtection="1">
      <alignment horizontal="center" vertical="center"/>
      <protection locked="0"/>
    </xf>
    <xf numFmtId="0" fontId="0" fillId="0" borderId="4" xfId="0" applyBorder="1" applyProtection="1">
      <protection locked="0"/>
    </xf>
    <xf numFmtId="0" fontId="0" fillId="0" borderId="2" xfId="0" applyBorder="1" applyProtection="1">
      <protection locked="0"/>
    </xf>
    <xf numFmtId="0" fontId="0" fillId="0" borderId="5" xfId="0" applyBorder="1" applyProtection="1">
      <protection locked="0"/>
    </xf>
    <xf numFmtId="0" fontId="0" fillId="0" borderId="6" xfId="0" applyBorder="1" applyProtection="1">
      <protection locked="0"/>
    </xf>
    <xf numFmtId="0" fontId="0" fillId="0" borderId="0" xfId="0" applyBorder="1" applyProtection="1">
      <protection locked="0"/>
    </xf>
    <xf numFmtId="0" fontId="0" fillId="0" borderId="7" xfId="0" applyBorder="1" applyProtection="1">
      <protection locked="0"/>
    </xf>
    <xf numFmtId="0" fontId="0" fillId="0" borderId="6" xfId="0" applyBorder="1" applyAlignment="1" applyProtection="1">
      <alignment vertical="center"/>
      <protection locked="0"/>
    </xf>
    <xf numFmtId="0" fontId="0" fillId="0" borderId="8" xfId="0" applyBorder="1" applyProtection="1">
      <protection locked="0"/>
    </xf>
    <xf numFmtId="0" fontId="0" fillId="0" borderId="9" xfId="0" applyBorder="1" applyProtection="1">
      <protection locked="0"/>
    </xf>
    <xf numFmtId="0" fontId="0" fillId="0" borderId="10" xfId="0" applyBorder="1" applyProtection="1">
      <protection locked="0"/>
    </xf>
    <xf numFmtId="0" fontId="6" fillId="2" borderId="1" xfId="0" applyFont="1" applyFill="1" applyBorder="1" applyAlignment="1" applyProtection="1">
      <alignment horizontal="center" vertical="center"/>
    </xf>
    <xf numFmtId="0" fontId="0" fillId="0" borderId="4" xfId="0" applyBorder="1" applyAlignment="1" applyProtection="1">
      <alignment vertical="center"/>
    </xf>
    <xf numFmtId="0" fontId="8" fillId="0" borderId="0" xfId="0" applyFont="1" applyBorder="1" applyAlignment="1" applyProtection="1">
      <alignment vertical="center"/>
    </xf>
    <xf numFmtId="0" fontId="0" fillId="0" borderId="0" xfId="0" applyAlignment="1" applyProtection="1">
      <alignment horizontal="justify" vertical="center"/>
      <protection locked="0"/>
    </xf>
    <xf numFmtId="0" fontId="5" fillId="3" borderId="0" xfId="0" applyFont="1" applyFill="1" applyAlignment="1" applyProtection="1">
      <alignment horizontal="center" vertical="center"/>
    </xf>
    <xf numFmtId="0" fontId="0" fillId="0" borderId="1" xfId="0" applyFont="1" applyBorder="1" applyAlignment="1" applyProtection="1">
      <alignment horizontal="center" vertical="center"/>
      <protection locked="0"/>
    </xf>
    <xf numFmtId="0" fontId="2" fillId="2" borderId="1" xfId="0" applyFont="1" applyFill="1" applyBorder="1" applyAlignment="1" applyProtection="1">
      <alignment horizontal="center" vertical="center"/>
    </xf>
    <xf numFmtId="0" fontId="0" fillId="0" borderId="1" xfId="0" applyBorder="1" applyAlignment="1" applyProtection="1">
      <alignment horizontal="center" vertical="center"/>
      <protection locked="0"/>
    </xf>
    <xf numFmtId="0" fontId="4" fillId="0" borderId="0" xfId="0" applyFont="1" applyAlignment="1" applyProtection="1">
      <alignment horizontal="center" vertical="center"/>
      <protection locked="0"/>
    </xf>
    <xf numFmtId="0" fontId="4" fillId="0" borderId="0" xfId="0" applyFont="1" applyAlignment="1" applyProtection="1">
      <alignment vertical="center"/>
      <protection locked="0"/>
    </xf>
    <xf numFmtId="0" fontId="0" fillId="0" borderId="1" xfId="0" applyFont="1" applyBorder="1" applyAlignment="1" applyProtection="1">
      <alignment horizontal="center" vertical="center"/>
    </xf>
    <xf numFmtId="0" fontId="0" fillId="0" borderId="1" xfId="0" applyFont="1" applyBorder="1" applyAlignment="1" applyProtection="1">
      <alignment horizontal="center" vertical="center"/>
      <protection locked="0"/>
    </xf>
    <xf numFmtId="0" fontId="2" fillId="2" borderId="1" xfId="0" applyFont="1" applyFill="1" applyBorder="1" applyAlignment="1" applyProtection="1">
      <alignment horizontal="center" vertical="center"/>
    </xf>
    <xf numFmtId="0" fontId="2" fillId="2" borderId="12" xfId="0" applyFont="1" applyFill="1" applyBorder="1" applyAlignment="1" applyProtection="1">
      <alignment horizontal="center" vertical="center"/>
    </xf>
    <xf numFmtId="0" fontId="0" fillId="0" borderId="1" xfId="0" applyBorder="1" applyAlignment="1" applyProtection="1">
      <alignment horizontal="center" vertical="center"/>
      <protection locked="0"/>
    </xf>
    <xf numFmtId="0" fontId="0" fillId="0" borderId="0" xfId="0" applyAlignment="1" applyProtection="1">
      <alignment vertical="center"/>
    </xf>
    <xf numFmtId="0" fontId="0" fillId="0" borderId="12" xfId="0" applyFont="1" applyBorder="1" applyAlignment="1" applyProtection="1">
      <alignment horizontal="center" vertical="center"/>
      <protection locked="0"/>
    </xf>
    <xf numFmtId="0" fontId="0" fillId="0" borderId="11" xfId="0" applyFont="1" applyBorder="1" applyAlignment="1" applyProtection="1">
      <alignment horizontal="center" vertical="center"/>
    </xf>
    <xf numFmtId="0" fontId="4" fillId="0" borderId="0" xfId="0" applyFont="1" applyAlignment="1" applyProtection="1">
      <alignment vertical="center" wrapText="1"/>
      <protection locked="0"/>
    </xf>
    <xf numFmtId="0" fontId="4" fillId="0" borderId="0" xfId="0" applyFont="1" applyAlignment="1" applyProtection="1">
      <alignment horizontal="center" vertical="center" wrapText="1"/>
      <protection locked="0"/>
    </xf>
    <xf numFmtId="0" fontId="5" fillId="2" borderId="0" xfId="0" applyFont="1" applyFill="1" applyAlignment="1" applyProtection="1">
      <alignment horizontal="center" vertical="center" wrapText="1"/>
      <protection locked="0"/>
    </xf>
    <xf numFmtId="0" fontId="0" fillId="0" borderId="5" xfId="0" applyFont="1" applyBorder="1" applyAlignment="1" applyProtection="1">
      <alignment vertical="center" wrapText="1"/>
    </xf>
    <xf numFmtId="0" fontId="0" fillId="0" borderId="4" xfId="0" applyFont="1" applyBorder="1" applyAlignment="1" applyProtection="1">
      <alignment vertical="center"/>
      <protection locked="0"/>
    </xf>
    <xf numFmtId="0" fontId="14" fillId="0" borderId="0" xfId="0" applyFont="1" applyAlignment="1" applyProtection="1">
      <alignment vertical="center" wrapText="1"/>
    </xf>
    <xf numFmtId="0" fontId="14" fillId="0" borderId="0" xfId="0" applyFont="1" applyAlignment="1" applyProtection="1">
      <alignment horizontal="center" vertical="center" wrapText="1"/>
    </xf>
    <xf numFmtId="0" fontId="14" fillId="0" borderId="0" xfId="0" applyFont="1" applyAlignment="1" applyProtection="1">
      <alignment horizontal="center" vertical="center"/>
    </xf>
    <xf numFmtId="0" fontId="14" fillId="0" borderId="0" xfId="0" applyFont="1" applyAlignment="1" applyProtection="1">
      <alignment vertical="center"/>
    </xf>
    <xf numFmtId="0" fontId="0" fillId="0" borderId="0" xfId="0" applyAlignment="1" applyProtection="1">
      <alignment horizontal="center" vertical="center"/>
    </xf>
    <xf numFmtId="0" fontId="14" fillId="0" borderId="0" xfId="0" applyNumberFormat="1" applyFont="1" applyAlignment="1" applyProtection="1">
      <alignment vertical="center"/>
    </xf>
    <xf numFmtId="0" fontId="14" fillId="0" borderId="0" xfId="0" applyNumberFormat="1" applyFont="1" applyAlignment="1" applyProtection="1">
      <alignment horizontal="center" vertical="center"/>
    </xf>
    <xf numFmtId="0" fontId="0" fillId="0" borderId="0" xfId="0" applyNumberFormat="1" applyAlignment="1" applyProtection="1">
      <alignment horizontal="center" vertical="center"/>
    </xf>
    <xf numFmtId="0" fontId="14" fillId="0" borderId="0" xfId="0" quotePrefix="1" applyNumberFormat="1" applyFont="1" applyAlignment="1" applyProtection="1">
      <alignment horizontal="center" vertical="center"/>
    </xf>
    <xf numFmtId="0" fontId="14" fillId="0" borderId="0" xfId="0" applyFont="1" applyAlignment="1" applyProtection="1">
      <alignment horizontal="justify" vertical="center" wrapText="1"/>
    </xf>
    <xf numFmtId="0" fontId="5" fillId="3" borderId="0" xfId="0" applyFont="1" applyFill="1" applyAlignment="1" applyProtection="1">
      <alignment horizontal="justify" vertical="center" wrapText="1"/>
    </xf>
    <xf numFmtId="0" fontId="14" fillId="5" borderId="0" xfId="0" applyFont="1" applyFill="1" applyAlignment="1" applyProtection="1">
      <alignment vertical="center"/>
    </xf>
    <xf numFmtId="0" fontId="14" fillId="5" borderId="0" xfId="0" applyFont="1" applyFill="1" applyAlignment="1" applyProtection="1">
      <alignment horizontal="justify" vertical="center" wrapText="1"/>
    </xf>
    <xf numFmtId="0" fontId="14" fillId="5" borderId="0" xfId="0" applyFont="1" applyFill="1" applyAlignment="1" applyProtection="1">
      <alignment horizontal="center" vertical="center" wrapText="1"/>
    </xf>
    <xf numFmtId="0" fontId="14" fillId="5" borderId="0" xfId="0" applyFont="1" applyFill="1" applyAlignment="1" applyProtection="1">
      <alignment horizontal="center" vertical="center"/>
    </xf>
    <xf numFmtId="0" fontId="0" fillId="0" borderId="1" xfId="0" applyFont="1" applyBorder="1" applyAlignment="1" applyProtection="1">
      <alignment horizontal="justify" vertical="center" wrapText="1"/>
      <protection locked="0"/>
    </xf>
    <xf numFmtId="0" fontId="0" fillId="0" borderId="1" xfId="0" applyFont="1" applyBorder="1" applyAlignment="1" applyProtection="1">
      <alignment horizontal="center" vertical="center" wrapText="1"/>
      <protection locked="0"/>
    </xf>
    <xf numFmtId="0" fontId="2" fillId="2" borderId="1" xfId="0" applyFont="1" applyFill="1" applyBorder="1" applyAlignment="1" applyProtection="1">
      <alignment horizontal="justify" vertical="center"/>
    </xf>
    <xf numFmtId="166" fontId="0" fillId="0" borderId="1" xfId="2" applyNumberFormat="1" applyFont="1" applyBorder="1" applyAlignment="1" applyProtection="1">
      <alignment horizontal="left" vertical="center"/>
      <protection locked="0"/>
    </xf>
    <xf numFmtId="0" fontId="10" fillId="0" borderId="1" xfId="0" applyFont="1" applyBorder="1" applyAlignment="1" applyProtection="1">
      <alignment horizontal="justify" vertical="center" wrapText="1"/>
    </xf>
    <xf numFmtId="0" fontId="11" fillId="0" borderId="1" xfId="0" applyFont="1" applyBorder="1" applyAlignment="1" applyProtection="1">
      <alignment horizontal="justify" vertical="center" wrapText="1"/>
    </xf>
    <xf numFmtId="0" fontId="2" fillId="2" borderId="11" xfId="0" applyFont="1" applyFill="1" applyBorder="1" applyAlignment="1" applyProtection="1">
      <alignment horizontal="center" vertical="center"/>
    </xf>
    <xf numFmtId="0" fontId="2" fillId="2" borderId="3" xfId="0" applyFont="1" applyFill="1" applyBorder="1" applyAlignment="1" applyProtection="1">
      <alignment horizontal="center" vertical="center"/>
    </xf>
    <xf numFmtId="0" fontId="2" fillId="2" borderId="12" xfId="0" applyFont="1" applyFill="1" applyBorder="1" applyAlignment="1" applyProtection="1">
      <alignment horizontal="center" vertical="center"/>
    </xf>
    <xf numFmtId="0" fontId="2" fillId="2" borderId="1" xfId="0" applyFont="1" applyFill="1" applyBorder="1" applyAlignment="1" applyProtection="1">
      <alignment horizontal="center" vertical="center"/>
    </xf>
    <xf numFmtId="0" fontId="0" fillId="0" borderId="1" xfId="0" applyBorder="1" applyAlignment="1" applyProtection="1">
      <alignment horizontal="center"/>
    </xf>
    <xf numFmtId="0" fontId="7" fillId="2" borderId="1" xfId="0" applyFont="1" applyFill="1" applyBorder="1" applyAlignment="1" applyProtection="1">
      <alignment horizontal="justify" vertical="center"/>
    </xf>
    <xf numFmtId="0" fontId="0" fillId="0" borderId="11" xfId="0" applyFont="1" applyBorder="1" applyAlignment="1" applyProtection="1">
      <alignment horizontal="center" vertical="center" wrapText="1"/>
      <protection locked="0"/>
    </xf>
    <xf numFmtId="0" fontId="0" fillId="0" borderId="3" xfId="0" applyFont="1" applyBorder="1" applyAlignment="1" applyProtection="1">
      <alignment horizontal="center" vertical="center" wrapText="1"/>
      <protection locked="0"/>
    </xf>
    <xf numFmtId="0" fontId="0" fillId="0" borderId="12" xfId="0" applyFont="1" applyBorder="1" applyAlignment="1" applyProtection="1">
      <alignment horizontal="center" vertical="center" wrapText="1"/>
      <protection locked="0"/>
    </xf>
    <xf numFmtId="0" fontId="7" fillId="2" borderId="11" xfId="0" applyFont="1" applyFill="1" applyBorder="1" applyAlignment="1" applyProtection="1">
      <alignment horizontal="center" vertical="center"/>
    </xf>
    <xf numFmtId="0" fontId="7" fillId="2" borderId="12" xfId="0" applyFont="1" applyFill="1" applyBorder="1" applyAlignment="1" applyProtection="1">
      <alignment horizontal="center" vertical="center"/>
    </xf>
    <xf numFmtId="167" fontId="0" fillId="0" borderId="1" xfId="2" applyNumberFormat="1" applyFont="1" applyBorder="1" applyAlignment="1" applyProtection="1">
      <alignment horizontal="center" vertical="center"/>
    </xf>
    <xf numFmtId="0" fontId="0" fillId="0" borderId="0" xfId="0" applyBorder="1" applyAlignment="1" applyProtection="1">
      <alignment horizontal="center"/>
      <protection locked="0"/>
    </xf>
    <xf numFmtId="167" fontId="0" fillId="0" borderId="1" xfId="2" applyNumberFormat="1" applyFont="1" applyBorder="1" applyAlignment="1" applyProtection="1">
      <alignment horizontal="center" vertical="center"/>
      <protection locked="0"/>
    </xf>
    <xf numFmtId="0" fontId="2" fillId="2" borderId="13" xfId="0" applyFont="1" applyFill="1" applyBorder="1" applyAlignment="1" applyProtection="1">
      <alignment horizontal="center" vertical="center"/>
    </xf>
    <xf numFmtId="0" fontId="0" fillId="0" borderId="1" xfId="1" applyNumberFormat="1" applyFont="1" applyBorder="1" applyAlignment="1" applyProtection="1">
      <alignment horizontal="center" vertical="center"/>
    </xf>
    <xf numFmtId="0" fontId="0" fillId="0" borderId="1" xfId="0" applyFont="1" applyBorder="1" applyAlignment="1" applyProtection="1">
      <alignment horizontal="center" vertical="center"/>
      <protection locked="0"/>
    </xf>
    <xf numFmtId="14" fontId="0" fillId="0" borderId="11" xfId="0" applyNumberFormat="1" applyFont="1" applyBorder="1" applyAlignment="1" applyProtection="1">
      <alignment horizontal="center" vertical="center" wrapText="1"/>
      <protection locked="0"/>
    </xf>
    <xf numFmtId="14" fontId="0" fillId="0" borderId="12" xfId="0" applyNumberFormat="1" applyFont="1" applyBorder="1" applyAlignment="1" applyProtection="1">
      <alignment horizontal="center" vertical="center" wrapText="1"/>
      <protection locked="0"/>
    </xf>
    <xf numFmtId="0" fontId="0" fillId="2" borderId="1" xfId="0" applyFont="1" applyFill="1" applyBorder="1" applyAlignment="1" applyProtection="1">
      <alignment horizontal="justify" vertical="center" wrapText="1"/>
    </xf>
    <xf numFmtId="0" fontId="0" fillId="0" borderId="11" xfId="0" applyFont="1" applyFill="1" applyBorder="1" applyAlignment="1" applyProtection="1">
      <alignment horizontal="center" vertical="center" wrapText="1"/>
      <protection locked="0"/>
    </xf>
    <xf numFmtId="0" fontId="0" fillId="0" borderId="3" xfId="0" applyFont="1" applyFill="1" applyBorder="1" applyAlignment="1" applyProtection="1">
      <alignment horizontal="center" vertical="center" wrapText="1"/>
      <protection locked="0"/>
    </xf>
    <xf numFmtId="0" fontId="0" fillId="0" borderId="12" xfId="0" applyFont="1" applyFill="1" applyBorder="1" applyAlignment="1" applyProtection="1">
      <alignment horizontal="center" vertical="center" wrapText="1"/>
      <protection locked="0"/>
    </xf>
    <xf numFmtId="0" fontId="0" fillId="0" borderId="0" xfId="0" applyAlignment="1" applyProtection="1">
      <alignment horizontal="center"/>
      <protection locked="0"/>
    </xf>
    <xf numFmtId="0" fontId="0" fillId="0" borderId="9" xfId="0" applyBorder="1" applyAlignment="1" applyProtection="1">
      <alignment horizontal="center"/>
      <protection locked="0"/>
    </xf>
    <xf numFmtId="0" fontId="3" fillId="2" borderId="4" xfId="0" applyFont="1" applyFill="1" applyBorder="1" applyAlignment="1" applyProtection="1">
      <alignment horizontal="center" vertical="center"/>
    </xf>
    <xf numFmtId="0" fontId="3" fillId="2" borderId="2" xfId="0" applyFont="1" applyFill="1" applyBorder="1" applyAlignment="1" applyProtection="1">
      <alignment horizontal="center" vertical="center"/>
    </xf>
    <xf numFmtId="0" fontId="3" fillId="2" borderId="5" xfId="0" applyFont="1" applyFill="1" applyBorder="1" applyAlignment="1" applyProtection="1">
      <alignment horizontal="center" vertical="center"/>
    </xf>
    <xf numFmtId="0" fontId="2" fillId="2" borderId="6" xfId="0" applyFont="1" applyFill="1" applyBorder="1" applyAlignment="1" applyProtection="1">
      <alignment horizontal="center" vertical="center"/>
    </xf>
    <xf numFmtId="0" fontId="2" fillId="2" borderId="0" xfId="0" applyFont="1" applyFill="1" applyBorder="1" applyAlignment="1" applyProtection="1">
      <alignment horizontal="center" vertical="center"/>
    </xf>
    <xf numFmtId="0" fontId="2" fillId="2" borderId="7" xfId="0" applyFont="1" applyFill="1" applyBorder="1" applyAlignment="1" applyProtection="1">
      <alignment horizontal="center" vertical="center"/>
    </xf>
    <xf numFmtId="0" fontId="13" fillId="0" borderId="11" xfId="0" applyFont="1" applyBorder="1" applyAlignment="1" applyProtection="1">
      <alignment horizontal="left" vertical="center" wrapText="1"/>
      <protection locked="0"/>
    </xf>
    <xf numFmtId="0" fontId="13" fillId="0" borderId="3" xfId="0" applyFont="1" applyBorder="1" applyAlignment="1" applyProtection="1">
      <alignment horizontal="left" vertical="center" wrapText="1"/>
      <protection locked="0"/>
    </xf>
    <xf numFmtId="0" fontId="13" fillId="0" borderId="12" xfId="0" applyFont="1" applyBorder="1" applyAlignment="1" applyProtection="1">
      <alignment horizontal="left" vertical="center" wrapText="1"/>
      <protection locked="0"/>
    </xf>
    <xf numFmtId="0" fontId="2" fillId="2" borderId="8" xfId="0" applyFont="1" applyFill="1" applyBorder="1" applyAlignment="1" applyProtection="1">
      <alignment horizontal="center" vertical="center"/>
    </xf>
    <xf numFmtId="0" fontId="2" fillId="2" borderId="9" xfId="0" applyFont="1" applyFill="1" applyBorder="1" applyAlignment="1" applyProtection="1">
      <alignment horizontal="center" vertical="center"/>
    </xf>
    <xf numFmtId="0" fontId="2" fillId="2" borderId="10" xfId="0" applyFont="1" applyFill="1" applyBorder="1" applyAlignment="1" applyProtection="1">
      <alignment horizontal="center" vertical="center"/>
    </xf>
    <xf numFmtId="0" fontId="0"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 xfId="0" applyFont="1" applyFill="1" applyBorder="1" applyAlignment="1" applyProtection="1">
      <alignment horizontal="left" vertical="center"/>
    </xf>
    <xf numFmtId="0" fontId="0" fillId="0" borderId="11" xfId="0" applyFont="1" applyBorder="1" applyAlignment="1" applyProtection="1">
      <alignment horizontal="center" vertical="center"/>
      <protection locked="0"/>
    </xf>
    <xf numFmtId="0" fontId="0" fillId="0" borderId="3" xfId="0" applyFont="1" applyBorder="1" applyAlignment="1" applyProtection="1">
      <alignment horizontal="center" vertical="center"/>
      <protection locked="0"/>
    </xf>
    <xf numFmtId="0" fontId="0" fillId="0" borderId="12" xfId="0" applyFont="1" applyBorder="1" applyAlignment="1" applyProtection="1">
      <alignment horizontal="center" vertical="center"/>
      <protection locked="0"/>
    </xf>
    <xf numFmtId="0" fontId="0" fillId="0" borderId="11" xfId="0" applyFont="1" applyBorder="1" applyAlignment="1" applyProtection="1">
      <alignment horizontal="justify" vertical="center"/>
      <protection locked="0"/>
    </xf>
    <xf numFmtId="0" fontId="0" fillId="0" borderId="3" xfId="0" applyFont="1" applyBorder="1" applyAlignment="1" applyProtection="1">
      <alignment horizontal="justify" vertical="center"/>
      <protection locked="0"/>
    </xf>
    <xf numFmtId="0" fontId="0" fillId="0" borderId="12" xfId="0" applyFont="1" applyBorder="1" applyAlignment="1" applyProtection="1">
      <alignment horizontal="justify" vertical="center"/>
      <protection locked="0"/>
    </xf>
    <xf numFmtId="0" fontId="8" fillId="0" borderId="0" xfId="0" applyFont="1" applyBorder="1" applyAlignment="1" applyProtection="1">
      <alignment horizontal="left" vertical="center"/>
    </xf>
    <xf numFmtId="0" fontId="8" fillId="0" borderId="7" xfId="0" applyFont="1" applyBorder="1" applyAlignment="1" applyProtection="1">
      <alignment horizontal="left" vertical="center"/>
    </xf>
    <xf numFmtId="0" fontId="0" fillId="2" borderId="1" xfId="0" applyFill="1" applyBorder="1" applyAlignment="1" applyProtection="1">
      <alignment horizontal="center"/>
    </xf>
    <xf numFmtId="0" fontId="8" fillId="0" borderId="0" xfId="0" applyFont="1" applyBorder="1" applyAlignment="1" applyProtection="1">
      <alignment horizontal="left" vertical="center"/>
      <protection locked="0"/>
    </xf>
    <xf numFmtId="0" fontId="0" fillId="0" borderId="8" xfId="0" applyBorder="1" applyAlignment="1" applyProtection="1">
      <alignment horizontal="left" vertical="center"/>
    </xf>
    <xf numFmtId="0" fontId="0" fillId="0" borderId="9" xfId="0" applyBorder="1" applyAlignment="1" applyProtection="1">
      <alignment horizontal="left" vertical="center"/>
    </xf>
    <xf numFmtId="0" fontId="0" fillId="0" borderId="10" xfId="0" applyBorder="1" applyAlignment="1" applyProtection="1">
      <alignment horizontal="left" vertical="center"/>
    </xf>
    <xf numFmtId="166" fontId="0" fillId="0" borderId="1" xfId="0" applyNumberFormat="1" applyFont="1" applyBorder="1" applyAlignment="1" applyProtection="1">
      <alignment horizontal="left" vertical="center"/>
      <protection locked="0"/>
    </xf>
    <xf numFmtId="0" fontId="0" fillId="0" borderId="2" xfId="0" applyBorder="1" applyAlignment="1" applyProtection="1">
      <alignment horizontal="left" vertical="center"/>
    </xf>
    <xf numFmtId="0" fontId="0" fillId="0" borderId="5" xfId="0" applyBorder="1" applyAlignment="1" applyProtection="1">
      <alignment horizontal="left" vertical="center"/>
    </xf>
    <xf numFmtId="0" fontId="0" fillId="0" borderId="4" xfId="0" applyFont="1" applyBorder="1" applyAlignment="1" applyProtection="1">
      <alignment horizontal="justify" vertical="center" wrapText="1"/>
      <protection locked="0"/>
    </xf>
    <xf numFmtId="0" fontId="0" fillId="0" borderId="2" xfId="0" applyFont="1" applyBorder="1" applyAlignment="1" applyProtection="1">
      <alignment horizontal="justify" vertical="center" wrapText="1"/>
      <protection locked="0"/>
    </xf>
    <xf numFmtId="0" fontId="0" fillId="0" borderId="5" xfId="0" applyFont="1" applyBorder="1" applyAlignment="1" applyProtection="1">
      <alignment horizontal="justify" vertical="center" wrapText="1"/>
      <protection locked="0"/>
    </xf>
    <xf numFmtId="0" fontId="0" fillId="0" borderId="6" xfId="0" applyFont="1" applyBorder="1" applyAlignment="1" applyProtection="1">
      <alignment horizontal="justify" vertical="center" wrapText="1"/>
      <protection locked="0"/>
    </xf>
    <xf numFmtId="0" fontId="0" fillId="0" borderId="0" xfId="0" applyFont="1" applyBorder="1" applyAlignment="1" applyProtection="1">
      <alignment horizontal="justify" vertical="center" wrapText="1"/>
      <protection locked="0"/>
    </xf>
    <xf numFmtId="0" fontId="0" fillId="0" borderId="7" xfId="0" applyFont="1" applyBorder="1" applyAlignment="1" applyProtection="1">
      <alignment horizontal="justify" vertical="center" wrapText="1"/>
      <protection locked="0"/>
    </xf>
    <xf numFmtId="0" fontId="0" fillId="0" borderId="8" xfId="0" applyFont="1" applyBorder="1" applyAlignment="1" applyProtection="1">
      <alignment horizontal="justify" vertical="center" wrapText="1"/>
      <protection locked="0"/>
    </xf>
    <xf numFmtId="0" fontId="0" fillId="0" borderId="9" xfId="0" applyFont="1" applyBorder="1" applyAlignment="1" applyProtection="1">
      <alignment horizontal="justify" vertical="center" wrapText="1"/>
      <protection locked="0"/>
    </xf>
    <xf numFmtId="0" fontId="0" fillId="0" borderId="10" xfId="0" applyFont="1" applyBorder="1" applyAlignment="1" applyProtection="1">
      <alignment horizontal="justify" vertical="center" wrapText="1"/>
      <protection locked="0"/>
    </xf>
    <xf numFmtId="0" fontId="2" fillId="2" borderId="1" xfId="0" applyFont="1" applyFill="1" applyBorder="1" applyAlignment="1" applyProtection="1">
      <alignment horizontal="justify" vertical="center" wrapText="1"/>
    </xf>
    <xf numFmtId="0" fontId="0" fillId="0" borderId="1" xfId="0" applyBorder="1" applyAlignment="1" applyProtection="1">
      <alignment horizontal="center" vertical="center" wrapText="1"/>
      <protection locked="0"/>
    </xf>
    <xf numFmtId="0" fontId="0" fillId="0" borderId="1" xfId="0" applyBorder="1" applyAlignment="1" applyProtection="1">
      <alignment horizontal="center" vertical="center"/>
      <protection locked="0"/>
    </xf>
    <xf numFmtId="0" fontId="3" fillId="0" borderId="2" xfId="0"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2" fillId="0" borderId="0" xfId="0" applyFont="1" applyFill="1" applyBorder="1" applyAlignment="1" applyProtection="1">
      <alignment horizontal="center" vertical="center" wrapText="1"/>
    </xf>
    <xf numFmtId="0" fontId="2" fillId="0" borderId="9" xfId="0" applyFont="1" applyFill="1" applyBorder="1" applyAlignment="1" applyProtection="1">
      <alignment horizontal="center" vertical="center" wrapText="1"/>
    </xf>
    <xf numFmtId="0" fontId="7" fillId="0" borderId="4" xfId="0" applyFont="1" applyFill="1" applyBorder="1" applyAlignment="1" applyProtection="1">
      <alignment horizontal="center" vertical="center"/>
      <protection locked="0"/>
    </xf>
    <xf numFmtId="0" fontId="7" fillId="0" borderId="2"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0" fontId="7" fillId="0" borderId="8" xfId="0" applyFont="1" applyFill="1" applyBorder="1" applyAlignment="1" applyProtection="1">
      <alignment horizontal="center" vertical="center"/>
      <protection locked="0"/>
    </xf>
    <xf numFmtId="0" fontId="7" fillId="0" borderId="9" xfId="0" applyFont="1" applyFill="1" applyBorder="1" applyAlignment="1" applyProtection="1">
      <alignment horizontal="center" vertical="center"/>
      <protection locked="0"/>
    </xf>
    <xf numFmtId="0" fontId="7" fillId="0" borderId="10" xfId="0" applyFont="1" applyFill="1" applyBorder="1" applyAlignment="1" applyProtection="1">
      <alignment horizontal="center" vertical="center"/>
      <protection locked="0"/>
    </xf>
    <xf numFmtId="0" fontId="0" fillId="0" borderId="11" xfId="0" applyFont="1" applyFill="1" applyBorder="1" applyAlignment="1" applyProtection="1">
      <alignment horizontal="center" vertical="center"/>
      <protection locked="0"/>
    </xf>
    <xf numFmtId="0" fontId="0" fillId="0" borderId="3" xfId="0" applyFont="1" applyFill="1" applyBorder="1" applyAlignment="1" applyProtection="1">
      <alignment horizontal="center" vertical="center"/>
      <protection locked="0"/>
    </xf>
    <xf numFmtId="0" fontId="0" fillId="0" borderId="12" xfId="0" applyFont="1" applyFill="1" applyBorder="1" applyAlignment="1" applyProtection="1">
      <alignment horizontal="center" vertical="center"/>
      <protection locked="0"/>
    </xf>
    <xf numFmtId="0" fontId="0" fillId="0" borderId="4" xfId="0" applyFont="1" applyBorder="1" applyAlignment="1" applyProtection="1">
      <alignment horizontal="justify" vertical="center"/>
      <protection locked="0"/>
    </xf>
    <xf numFmtId="0" fontId="0" fillId="0" borderId="2" xfId="0" applyFont="1" applyBorder="1" applyAlignment="1" applyProtection="1">
      <alignment horizontal="justify" vertical="center"/>
      <protection locked="0"/>
    </xf>
    <xf numFmtId="0" fontId="0" fillId="0" borderId="5" xfId="0" applyFont="1" applyBorder="1" applyAlignment="1" applyProtection="1">
      <alignment horizontal="justify" vertical="center"/>
      <protection locked="0"/>
    </xf>
    <xf numFmtId="0" fontId="0" fillId="0" borderId="6" xfId="0" applyFont="1" applyBorder="1" applyAlignment="1" applyProtection="1">
      <alignment horizontal="justify" vertical="center"/>
      <protection locked="0"/>
    </xf>
    <xf numFmtId="0" fontId="0" fillId="0" borderId="0" xfId="0" applyFont="1" applyBorder="1" applyAlignment="1" applyProtection="1">
      <alignment horizontal="justify" vertical="center"/>
      <protection locked="0"/>
    </xf>
    <xf numFmtId="0" fontId="0" fillId="0" borderId="7" xfId="0" applyFont="1" applyBorder="1" applyAlignment="1" applyProtection="1">
      <alignment horizontal="justify" vertical="center"/>
      <protection locked="0"/>
    </xf>
    <xf numFmtId="0" fontId="0" fillId="0" borderId="8" xfId="0" applyFont="1" applyBorder="1" applyAlignment="1" applyProtection="1">
      <alignment horizontal="justify" vertical="center"/>
      <protection locked="0"/>
    </xf>
    <xf numFmtId="0" fontId="0" fillId="0" borderId="9" xfId="0" applyFont="1" applyBorder="1" applyAlignment="1" applyProtection="1">
      <alignment horizontal="justify" vertical="center"/>
      <protection locked="0"/>
    </xf>
    <xf numFmtId="0" fontId="0" fillId="0" borderId="10" xfId="0" applyFont="1" applyBorder="1" applyAlignment="1" applyProtection="1">
      <alignment horizontal="justify" vertical="center"/>
      <protection locked="0"/>
    </xf>
    <xf numFmtId="0" fontId="7" fillId="2" borderId="1" xfId="0" applyFont="1" applyFill="1" applyBorder="1" applyAlignment="1" applyProtection="1">
      <alignment horizontal="left" vertical="center"/>
    </xf>
    <xf numFmtId="0" fontId="0" fillId="4" borderId="11" xfId="0" applyFill="1" applyBorder="1" applyAlignment="1" applyProtection="1">
      <alignment horizontal="left" vertical="center"/>
      <protection locked="0"/>
    </xf>
    <xf numFmtId="0" fontId="0" fillId="4" borderId="3" xfId="0" applyFill="1" applyBorder="1" applyAlignment="1" applyProtection="1">
      <alignment horizontal="left" vertical="center"/>
      <protection locked="0"/>
    </xf>
    <xf numFmtId="0" fontId="0" fillId="4" borderId="12" xfId="0" applyFill="1" applyBorder="1" applyAlignment="1" applyProtection="1">
      <alignment horizontal="left" vertical="center"/>
      <protection locked="0"/>
    </xf>
    <xf numFmtId="0" fontId="2" fillId="0" borderId="10" xfId="0" applyFont="1" applyFill="1" applyBorder="1" applyAlignment="1" applyProtection="1">
      <alignment horizontal="center" vertical="center" wrapText="1"/>
    </xf>
    <xf numFmtId="0" fontId="0" fillId="0" borderId="1" xfId="0" applyFont="1" applyBorder="1" applyAlignment="1" applyProtection="1">
      <alignment horizontal="justify" vertical="center"/>
    </xf>
    <xf numFmtId="0" fontId="2" fillId="2" borderId="14" xfId="0" applyFont="1" applyFill="1" applyBorder="1" applyAlignment="1" applyProtection="1">
      <alignment horizontal="center" vertical="center"/>
    </xf>
    <xf numFmtId="0" fontId="3" fillId="0" borderId="5" xfId="0" applyFont="1" applyFill="1" applyBorder="1" applyAlignment="1" applyProtection="1">
      <alignment horizontal="center" wrapText="1"/>
    </xf>
    <xf numFmtId="0" fontId="3" fillId="0" borderId="7" xfId="0" applyFont="1" applyFill="1" applyBorder="1" applyAlignment="1" applyProtection="1">
      <alignment horizontal="center" wrapText="1"/>
    </xf>
    <xf numFmtId="0" fontId="9" fillId="0" borderId="0" xfId="0" applyFont="1" applyFill="1" applyBorder="1" applyAlignment="1" applyProtection="1">
      <alignment horizontal="center" wrapText="1"/>
    </xf>
    <xf numFmtId="0" fontId="9" fillId="0" borderId="7" xfId="0" applyFont="1" applyFill="1" applyBorder="1" applyAlignment="1" applyProtection="1">
      <alignment horizontal="center" wrapText="1"/>
    </xf>
    <xf numFmtId="0" fontId="0" fillId="0" borderId="11" xfId="0" applyFont="1" applyBorder="1" applyAlignment="1" applyProtection="1">
      <alignment horizontal="left" vertical="center"/>
      <protection locked="0"/>
    </xf>
    <xf numFmtId="0" fontId="0" fillId="0" borderId="3" xfId="0" applyFont="1" applyBorder="1" applyAlignment="1" applyProtection="1">
      <alignment horizontal="left" vertical="center"/>
      <protection locked="0"/>
    </xf>
    <xf numFmtId="0" fontId="0" fillId="0" borderId="12" xfId="0" applyFont="1" applyBorder="1" applyAlignment="1" applyProtection="1">
      <alignment horizontal="left" vertical="center"/>
      <protection locked="0"/>
    </xf>
    <xf numFmtId="0" fontId="0" fillId="0" borderId="11" xfId="0" applyBorder="1" applyAlignment="1" applyProtection="1">
      <alignment horizontal="center" vertical="center"/>
      <protection locked="0"/>
    </xf>
    <xf numFmtId="0" fontId="0" fillId="0" borderId="12" xfId="0" applyBorder="1" applyAlignment="1" applyProtection="1">
      <alignment horizontal="center" vertical="center"/>
      <protection locked="0"/>
    </xf>
  </cellXfs>
  <cellStyles count="3">
    <cellStyle name="Millares [0]" xfId="1" builtinId="6"/>
    <cellStyle name="Moneda [0]" xfId="2" builtinId="7"/>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13</xdr:col>
      <xdr:colOff>123825</xdr:colOff>
      <xdr:row>2</xdr:row>
      <xdr:rowOff>85725</xdr:rowOff>
    </xdr:from>
    <xdr:to>
      <xdr:col>16</xdr:col>
      <xdr:colOff>31425</xdr:colOff>
      <xdr:row>3</xdr:row>
      <xdr:rowOff>152400</xdr:rowOff>
    </xdr:to>
    <xdr:sp macro="[0]!Generar_Documentos" textlink="">
      <xdr:nvSpPr>
        <xdr:cNvPr id="2" name="Rectángulo redondeado 1">
          <a:extLst>
            <a:ext uri="{FF2B5EF4-FFF2-40B4-BE49-F238E27FC236}">
              <a16:creationId xmlns:a16="http://schemas.microsoft.com/office/drawing/2014/main" id="{00000000-0008-0000-0000-000002000000}"/>
            </a:ext>
          </a:extLst>
        </xdr:cNvPr>
        <xdr:cNvSpPr/>
      </xdr:nvSpPr>
      <xdr:spPr>
        <a:xfrm>
          <a:off x="12582525" y="466725"/>
          <a:ext cx="1584000" cy="295275"/>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Generar documentos</a:t>
          </a:r>
        </a:p>
      </xdr:txBody>
    </xdr:sp>
    <xdr:clientData/>
  </xdr:twoCellAnchor>
  <xdr:twoCellAnchor>
    <xdr:from>
      <xdr:col>13</xdr:col>
      <xdr:colOff>133350</xdr:colOff>
      <xdr:row>4</xdr:row>
      <xdr:rowOff>57149</xdr:rowOff>
    </xdr:from>
    <xdr:to>
      <xdr:col>16</xdr:col>
      <xdr:colOff>40950</xdr:colOff>
      <xdr:row>5</xdr:row>
      <xdr:rowOff>124648</xdr:rowOff>
    </xdr:to>
    <xdr:sp macro="[0]!Proteger_Documentos" textlink="">
      <xdr:nvSpPr>
        <xdr:cNvPr id="4" name="Rectángulo: esquinas redondeadas 3">
          <a:extLst>
            <a:ext uri="{FF2B5EF4-FFF2-40B4-BE49-F238E27FC236}">
              <a16:creationId xmlns:a16="http://schemas.microsoft.com/office/drawing/2014/main" id="{4EE203E0-5A65-4B2B-BFC5-37761F2696AC}"/>
            </a:ext>
          </a:extLst>
        </xdr:cNvPr>
        <xdr:cNvSpPr/>
      </xdr:nvSpPr>
      <xdr:spPr>
        <a:xfrm>
          <a:off x="12592050" y="895349"/>
          <a:ext cx="1584000" cy="296099"/>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Proteger</a:t>
          </a:r>
          <a:r>
            <a:rPr lang="es-CO" sz="1000" b="1" baseline="0">
              <a:solidFill>
                <a:schemeClr val="tx1"/>
              </a:solidFill>
            </a:rPr>
            <a:t> documentos</a:t>
          </a:r>
          <a:endParaRPr lang="es-CO" sz="1000" b="1">
            <a:solidFill>
              <a:schemeClr val="tx1"/>
            </a:solidFill>
          </a:endParaRPr>
        </a:p>
      </xdr:txBody>
    </xdr:sp>
    <xdr:clientData/>
  </xdr:twoCellAnchor>
  <xdr:twoCellAnchor>
    <xdr:from>
      <xdr:col>16</xdr:col>
      <xdr:colOff>219075</xdr:colOff>
      <xdr:row>2</xdr:row>
      <xdr:rowOff>95250</xdr:rowOff>
    </xdr:from>
    <xdr:to>
      <xdr:col>18</xdr:col>
      <xdr:colOff>279075</xdr:colOff>
      <xdr:row>3</xdr:row>
      <xdr:rowOff>161850</xdr:rowOff>
    </xdr:to>
    <xdr:sp macro="[0]!generarPDFs" textlink="">
      <xdr:nvSpPr>
        <xdr:cNvPr id="5" name="Rectángulo redondeado 4"/>
        <xdr:cNvSpPr/>
      </xdr:nvSpPr>
      <xdr:spPr>
        <a:xfrm>
          <a:off x="14354175" y="476250"/>
          <a:ext cx="1584000" cy="295200"/>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Generar</a:t>
          </a:r>
          <a:r>
            <a:rPr lang="es-CO" sz="1000" b="1" baseline="0">
              <a:solidFill>
                <a:schemeClr val="tx1"/>
              </a:solidFill>
            </a:rPr>
            <a:t> PDFs</a:t>
          </a:r>
          <a:endParaRPr lang="es-CO" sz="1000" b="1">
            <a:solidFill>
              <a:schemeClr val="tx1"/>
            </a:solidFill>
          </a:endParaRPr>
        </a:p>
      </xdr:txBody>
    </xdr:sp>
    <xdr:clientData/>
  </xdr:twoCellAnchor>
  <xdr:twoCellAnchor>
    <xdr:from>
      <xdr:col>16</xdr:col>
      <xdr:colOff>228599</xdr:colOff>
      <xdr:row>4</xdr:row>
      <xdr:rowOff>66675</xdr:rowOff>
    </xdr:from>
    <xdr:to>
      <xdr:col>18</xdr:col>
      <xdr:colOff>288599</xdr:colOff>
      <xdr:row>5</xdr:row>
      <xdr:rowOff>133275</xdr:rowOff>
    </xdr:to>
    <xdr:sp macro="[0]!Desproteger_Documentos" textlink="">
      <xdr:nvSpPr>
        <xdr:cNvPr id="6" name="Rectángulo redondeado 5"/>
        <xdr:cNvSpPr/>
      </xdr:nvSpPr>
      <xdr:spPr>
        <a:xfrm>
          <a:off x="14363699" y="904875"/>
          <a:ext cx="1584000" cy="295200"/>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Desproteger documentos</a:t>
          </a:r>
        </a:p>
      </xdr:txBody>
    </xdr:sp>
    <xdr:clientData/>
  </xdr:twoCellAnchor>
  <xdr:twoCellAnchor editAs="oneCell">
    <xdr:from>
      <xdr:col>0</xdr:col>
      <xdr:colOff>277342</xdr:colOff>
      <xdr:row>2</xdr:row>
      <xdr:rowOff>21168</xdr:rowOff>
    </xdr:from>
    <xdr:to>
      <xdr:col>2</xdr:col>
      <xdr:colOff>787399</xdr:colOff>
      <xdr:row>5</xdr:row>
      <xdr:rowOff>158750</xdr:rowOff>
    </xdr:to>
    <xdr:pic>
      <xdr:nvPicPr>
        <xdr:cNvPr id="7" name="Imagen 6"/>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7342" y="402168"/>
          <a:ext cx="2605557" cy="83608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224845</xdr:colOff>
      <xdr:row>2</xdr:row>
      <xdr:rowOff>19050</xdr:rowOff>
    </xdr:from>
    <xdr:to>
      <xdr:col>0</xdr:col>
      <xdr:colOff>885825</xdr:colOff>
      <xdr:row>5</xdr:row>
      <xdr:rowOff>186914</xdr:rowOff>
    </xdr:to>
    <xdr:pic>
      <xdr:nvPicPr>
        <xdr:cNvPr id="3" name="Imagen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4845" y="400050"/>
          <a:ext cx="660980" cy="85366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224845</xdr:colOff>
      <xdr:row>2</xdr:row>
      <xdr:rowOff>19050</xdr:rowOff>
    </xdr:from>
    <xdr:to>
      <xdr:col>0</xdr:col>
      <xdr:colOff>885825</xdr:colOff>
      <xdr:row>5</xdr:row>
      <xdr:rowOff>196439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4845" y="400050"/>
          <a:ext cx="660980" cy="85366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file:///\\172.30.200.20\Publico\BD_Proveedores.xlsx"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pageSetUpPr fitToPage="1"/>
  </sheetPr>
  <dimension ref="A1:P55"/>
  <sheetViews>
    <sheetView showGridLines="0" tabSelected="1" zoomScale="90" zoomScaleNormal="90" workbookViewId="0">
      <pane ySplit="6" topLeftCell="A7" activePane="bottomLeft" state="frozen"/>
      <selection pane="bottomLeft" activeCell="Q15" sqref="Q15"/>
    </sheetView>
  </sheetViews>
  <sheetFormatPr baseColWidth="10" defaultColWidth="11.42578125" defaultRowHeight="15" x14ac:dyDescent="0.25"/>
  <cols>
    <col min="1" max="11" width="15.7109375" style="1" customWidth="1"/>
    <col min="12" max="12" width="11.42578125" style="1"/>
    <col min="13" max="13" width="2.5703125" style="1" customWidth="1"/>
    <col min="14" max="14" width="2.28515625" style="1" customWidth="1"/>
    <col min="15" max="16384" width="11.42578125" style="1"/>
  </cols>
  <sheetData>
    <row r="1" spans="1:16" x14ac:dyDescent="0.25">
      <c r="C1" s="81"/>
      <c r="D1" s="81"/>
      <c r="E1" s="81"/>
      <c r="F1" s="81"/>
      <c r="G1" s="81"/>
      <c r="H1" s="81"/>
      <c r="I1" s="81"/>
      <c r="J1" s="81"/>
      <c r="K1" s="81"/>
      <c r="L1" s="81"/>
    </row>
    <row r="2" spans="1:16" ht="15" customHeight="1" x14ac:dyDescent="0.25">
      <c r="C2" s="70"/>
      <c r="D2" s="82"/>
      <c r="E2" s="82"/>
      <c r="F2" s="82"/>
      <c r="G2" s="82"/>
      <c r="H2" s="82"/>
      <c r="I2" s="82"/>
      <c r="J2" s="82"/>
      <c r="K2" s="82"/>
      <c r="L2" s="82"/>
    </row>
    <row r="3" spans="1:16" ht="18" customHeight="1" x14ac:dyDescent="0.25">
      <c r="A3" s="62"/>
      <c r="B3" s="62"/>
      <c r="C3" s="62"/>
      <c r="D3" s="83" t="s">
        <v>602</v>
      </c>
      <c r="E3" s="84"/>
      <c r="F3" s="84"/>
      <c r="G3" s="84"/>
      <c r="H3" s="84"/>
      <c r="I3" s="84"/>
      <c r="J3" s="84"/>
      <c r="K3" s="84"/>
      <c r="L3" s="85"/>
      <c r="O3" s="81"/>
      <c r="P3" s="81"/>
    </row>
    <row r="4" spans="1:16" ht="18" customHeight="1" x14ac:dyDescent="0.25">
      <c r="A4" s="62"/>
      <c r="B4" s="62"/>
      <c r="C4" s="62"/>
      <c r="D4" s="86" t="s">
        <v>0</v>
      </c>
      <c r="E4" s="87"/>
      <c r="F4" s="87"/>
      <c r="G4" s="87"/>
      <c r="H4" s="87"/>
      <c r="I4" s="87"/>
      <c r="J4" s="87"/>
      <c r="K4" s="87"/>
      <c r="L4" s="88"/>
      <c r="O4" s="81"/>
      <c r="P4" s="81"/>
    </row>
    <row r="5" spans="1:16" ht="18" customHeight="1" x14ac:dyDescent="0.25">
      <c r="A5" s="62"/>
      <c r="B5" s="62"/>
      <c r="C5" s="62"/>
      <c r="D5" s="86" t="s">
        <v>1</v>
      </c>
      <c r="E5" s="87"/>
      <c r="F5" s="87"/>
      <c r="G5" s="87"/>
      <c r="H5" s="87"/>
      <c r="I5" s="87"/>
      <c r="J5" s="87"/>
      <c r="K5" s="87"/>
      <c r="L5" s="88"/>
    </row>
    <row r="6" spans="1:16" ht="18" customHeight="1" x14ac:dyDescent="0.25">
      <c r="A6" s="62"/>
      <c r="B6" s="62"/>
      <c r="C6" s="62"/>
      <c r="D6" s="92" t="s">
        <v>2</v>
      </c>
      <c r="E6" s="93"/>
      <c r="F6" s="93"/>
      <c r="G6" s="93"/>
      <c r="H6" s="93"/>
      <c r="I6" s="93"/>
      <c r="J6" s="93"/>
      <c r="K6" s="93"/>
      <c r="L6" s="94"/>
    </row>
    <row r="7" spans="1:16" ht="20.100000000000001" customHeight="1" x14ac:dyDescent="0.25">
      <c r="C7" s="81"/>
      <c r="D7" s="81"/>
      <c r="E7" s="81"/>
      <c r="F7" s="81"/>
      <c r="G7" s="81"/>
      <c r="H7" s="81"/>
      <c r="I7" s="81"/>
      <c r="J7" s="81"/>
      <c r="K7" s="81"/>
      <c r="L7" s="81"/>
    </row>
    <row r="8" spans="1:16" s="2" customFormat="1" ht="30" customHeight="1" x14ac:dyDescent="0.25">
      <c r="A8" s="61" t="s">
        <v>90</v>
      </c>
      <c r="B8" s="61"/>
      <c r="C8" s="61" t="s">
        <v>3</v>
      </c>
      <c r="D8" s="61"/>
      <c r="E8" s="61" t="s">
        <v>4</v>
      </c>
      <c r="F8" s="61"/>
      <c r="G8" s="61" t="s">
        <v>5</v>
      </c>
      <c r="H8" s="61"/>
      <c r="I8" s="61" t="s">
        <v>72</v>
      </c>
      <c r="J8" s="61"/>
      <c r="K8" s="61" t="s">
        <v>73</v>
      </c>
      <c r="L8" s="61"/>
    </row>
    <row r="9" spans="1:16" ht="30" customHeight="1" x14ac:dyDescent="0.25">
      <c r="A9" s="53"/>
      <c r="B9" s="53"/>
      <c r="C9" s="53"/>
      <c r="D9" s="53"/>
      <c r="E9" s="53"/>
      <c r="F9" s="53"/>
      <c r="G9" s="73" t="str">
        <f>IF(E9="","",IFERROR(VLOOKUP(E9,Parámetros!H2:I235,2,FALSE),"No se encontró"))</f>
        <v/>
      </c>
      <c r="H9" s="73"/>
      <c r="I9" s="53"/>
      <c r="J9" s="53"/>
      <c r="K9" s="74"/>
      <c r="L9" s="74"/>
    </row>
    <row r="10" spans="1:16" ht="30" customHeight="1" x14ac:dyDescent="0.25">
      <c r="A10" s="53"/>
      <c r="B10" s="53"/>
      <c r="C10" s="53"/>
      <c r="D10" s="53"/>
      <c r="E10" s="53"/>
      <c r="F10" s="53"/>
      <c r="G10" s="73"/>
      <c r="H10" s="73"/>
      <c r="I10" s="53"/>
      <c r="J10" s="53"/>
      <c r="K10" s="74"/>
      <c r="L10" s="74"/>
    </row>
    <row r="11" spans="1:16" ht="30" customHeight="1" x14ac:dyDescent="0.25">
      <c r="A11" s="97" t="s">
        <v>74</v>
      </c>
      <c r="B11" s="97"/>
      <c r="C11" s="97"/>
      <c r="D11" s="97"/>
      <c r="E11" s="97"/>
      <c r="F11" s="97"/>
      <c r="G11" s="97"/>
      <c r="H11" s="97"/>
      <c r="I11" s="97"/>
      <c r="J11" s="97"/>
      <c r="K11" s="97"/>
      <c r="L11" s="97"/>
    </row>
    <row r="12" spans="1:16" ht="34.5" customHeight="1" x14ac:dyDescent="0.25">
      <c r="A12" s="77" t="s">
        <v>882</v>
      </c>
      <c r="B12" s="77"/>
      <c r="C12" s="77"/>
      <c r="D12" s="77"/>
      <c r="E12" s="77"/>
      <c r="F12" s="77"/>
      <c r="G12" s="77"/>
      <c r="H12" s="77"/>
      <c r="I12" s="77"/>
      <c r="J12" s="77"/>
      <c r="K12" s="77"/>
      <c r="L12" s="77"/>
    </row>
    <row r="13" spans="1:16" ht="40.5" customHeight="1" x14ac:dyDescent="0.25">
      <c r="A13" s="58" t="s">
        <v>15</v>
      </c>
      <c r="B13" s="60"/>
      <c r="C13" s="78"/>
      <c r="D13" s="79"/>
      <c r="E13" s="79"/>
      <c r="F13" s="79"/>
      <c r="G13" s="79"/>
      <c r="H13" s="79"/>
      <c r="I13" s="72" t="s">
        <v>867</v>
      </c>
      <c r="J13" s="72"/>
      <c r="K13" s="78"/>
      <c r="L13" s="80"/>
    </row>
    <row r="14" spans="1:16" ht="30" customHeight="1" x14ac:dyDescent="0.25">
      <c r="A14" s="72" t="s">
        <v>75</v>
      </c>
      <c r="B14" s="72"/>
      <c r="C14" s="95" t="str">
        <f>IF(C13="","",VLOOKUP(C13,Parámetros!C2:E256,2,FALSE))</f>
        <v/>
      </c>
      <c r="D14" s="95"/>
      <c r="E14" s="72" t="s">
        <v>16</v>
      </c>
      <c r="F14" s="72"/>
      <c r="G14" s="95" t="str">
        <f>IF(C13="","",VLOOKUP(C13,Parámetros!C2:E256,3,FALSE))</f>
        <v/>
      </c>
      <c r="H14" s="95"/>
      <c r="I14" s="72" t="s">
        <v>31</v>
      </c>
      <c r="J14" s="72"/>
      <c r="K14" s="75"/>
      <c r="L14" s="76"/>
    </row>
    <row r="15" spans="1:16" s="2" customFormat="1" ht="30" customHeight="1" x14ac:dyDescent="0.25">
      <c r="A15" s="54" t="s">
        <v>76</v>
      </c>
      <c r="B15" s="54"/>
      <c r="C15" s="54"/>
      <c r="D15" s="54"/>
      <c r="E15" s="54"/>
      <c r="F15" s="54"/>
      <c r="G15" s="54"/>
      <c r="H15" s="54"/>
      <c r="I15" s="54"/>
      <c r="J15" s="54"/>
      <c r="K15" s="54"/>
      <c r="L15" s="54"/>
    </row>
    <row r="16" spans="1:16" ht="30" customHeight="1" x14ac:dyDescent="0.25">
      <c r="A16" s="96" t="s">
        <v>300</v>
      </c>
      <c r="B16" s="96"/>
      <c r="C16" s="96"/>
      <c r="D16" s="96" t="s">
        <v>77</v>
      </c>
      <c r="E16" s="96"/>
      <c r="F16" s="96"/>
      <c r="G16" s="96"/>
      <c r="H16" s="96"/>
      <c r="I16" s="96"/>
      <c r="J16" s="96"/>
      <c r="K16" s="96" t="s">
        <v>78</v>
      </c>
      <c r="L16" s="96"/>
    </row>
    <row r="17" spans="1:12" ht="30" customHeight="1" x14ac:dyDescent="0.25">
      <c r="A17" s="52"/>
      <c r="B17" s="52"/>
      <c r="C17" s="52"/>
      <c r="D17" s="52"/>
      <c r="E17" s="52"/>
      <c r="F17" s="52"/>
      <c r="G17" s="52"/>
      <c r="H17" s="52"/>
      <c r="I17" s="52"/>
      <c r="J17" s="52"/>
      <c r="K17" s="53"/>
      <c r="L17" s="53"/>
    </row>
    <row r="18" spans="1:12" ht="30" customHeight="1" x14ac:dyDescent="0.25">
      <c r="A18" s="52"/>
      <c r="B18" s="52"/>
      <c r="C18" s="52"/>
      <c r="D18" s="52"/>
      <c r="E18" s="52"/>
      <c r="F18" s="52"/>
      <c r="G18" s="52"/>
      <c r="H18" s="52"/>
      <c r="I18" s="52"/>
      <c r="J18" s="52"/>
      <c r="K18" s="53"/>
      <c r="L18" s="53"/>
    </row>
    <row r="19" spans="1:12" ht="30" customHeight="1" x14ac:dyDescent="0.25">
      <c r="A19" s="52"/>
      <c r="B19" s="52"/>
      <c r="C19" s="52"/>
      <c r="D19" s="52"/>
      <c r="E19" s="52"/>
      <c r="F19" s="52"/>
      <c r="G19" s="52"/>
      <c r="H19" s="52"/>
      <c r="I19" s="52"/>
      <c r="J19" s="52"/>
      <c r="K19" s="53"/>
      <c r="L19" s="53"/>
    </row>
    <row r="20" spans="1:12" ht="30" customHeight="1" x14ac:dyDescent="0.25">
      <c r="A20" s="52"/>
      <c r="B20" s="52"/>
      <c r="C20" s="52"/>
      <c r="D20" s="52"/>
      <c r="E20" s="52"/>
      <c r="F20" s="52"/>
      <c r="G20" s="52"/>
      <c r="H20" s="52"/>
      <c r="I20" s="52"/>
      <c r="J20" s="52"/>
      <c r="K20" s="53"/>
      <c r="L20" s="53"/>
    </row>
    <row r="21" spans="1:12" ht="30" customHeight="1" x14ac:dyDescent="0.25">
      <c r="A21" s="52"/>
      <c r="B21" s="52"/>
      <c r="C21" s="52"/>
      <c r="D21" s="52"/>
      <c r="E21" s="52"/>
      <c r="F21" s="52"/>
      <c r="G21" s="52"/>
      <c r="H21" s="52"/>
      <c r="I21" s="52"/>
      <c r="J21" s="52"/>
      <c r="K21" s="53"/>
      <c r="L21" s="53"/>
    </row>
    <row r="22" spans="1:12" ht="30" customHeight="1" x14ac:dyDescent="0.25">
      <c r="A22" s="52"/>
      <c r="B22" s="52"/>
      <c r="C22" s="52"/>
      <c r="D22" s="52"/>
      <c r="E22" s="52"/>
      <c r="F22" s="52"/>
      <c r="G22" s="52"/>
      <c r="H22" s="52"/>
      <c r="I22" s="52"/>
      <c r="J22" s="52"/>
      <c r="K22" s="53"/>
      <c r="L22" s="53"/>
    </row>
    <row r="23" spans="1:12" ht="30" customHeight="1" x14ac:dyDescent="0.25">
      <c r="A23" s="52"/>
      <c r="B23" s="52"/>
      <c r="C23" s="52"/>
      <c r="D23" s="52"/>
      <c r="E23" s="52"/>
      <c r="F23" s="52"/>
      <c r="G23" s="52"/>
      <c r="H23" s="52"/>
      <c r="I23" s="52"/>
      <c r="J23" s="52"/>
      <c r="K23" s="53"/>
      <c r="L23" s="53"/>
    </row>
    <row r="24" spans="1:12" ht="30" customHeight="1" x14ac:dyDescent="0.25">
      <c r="A24" s="52"/>
      <c r="B24" s="52"/>
      <c r="C24" s="52"/>
      <c r="D24" s="52"/>
      <c r="E24" s="52"/>
      <c r="F24" s="52"/>
      <c r="G24" s="52"/>
      <c r="H24" s="52"/>
      <c r="I24" s="52"/>
      <c r="J24" s="52"/>
      <c r="K24" s="53"/>
      <c r="L24" s="53"/>
    </row>
    <row r="25" spans="1:12" ht="30" customHeight="1" x14ac:dyDescent="0.25">
      <c r="A25" s="52"/>
      <c r="B25" s="52"/>
      <c r="C25" s="52"/>
      <c r="D25" s="52"/>
      <c r="E25" s="52"/>
      <c r="F25" s="52"/>
      <c r="G25" s="52"/>
      <c r="H25" s="52"/>
      <c r="I25" s="52"/>
      <c r="J25" s="52"/>
      <c r="K25" s="53"/>
      <c r="L25" s="53"/>
    </row>
    <row r="26" spans="1:12" ht="30" customHeight="1" x14ac:dyDescent="0.25">
      <c r="A26" s="52"/>
      <c r="B26" s="52"/>
      <c r="C26" s="52"/>
      <c r="D26" s="52"/>
      <c r="E26" s="52"/>
      <c r="F26" s="52"/>
      <c r="G26" s="52"/>
      <c r="H26" s="52"/>
      <c r="I26" s="52"/>
      <c r="J26" s="52"/>
      <c r="K26" s="53"/>
      <c r="L26" s="53"/>
    </row>
    <row r="27" spans="1:12" ht="30" customHeight="1" x14ac:dyDescent="0.25">
      <c r="A27" s="52"/>
      <c r="B27" s="52"/>
      <c r="C27" s="52"/>
      <c r="D27" s="52"/>
      <c r="E27" s="52"/>
      <c r="F27" s="52"/>
      <c r="G27" s="52"/>
      <c r="H27" s="52"/>
      <c r="I27" s="52"/>
      <c r="J27" s="52"/>
      <c r="K27" s="53"/>
      <c r="L27" s="53"/>
    </row>
    <row r="28" spans="1:12" s="2" customFormat="1" ht="30" customHeight="1" x14ac:dyDescent="0.25">
      <c r="A28" s="54" t="s">
        <v>88</v>
      </c>
      <c r="B28" s="54"/>
      <c r="C28" s="54"/>
      <c r="D28" s="54"/>
      <c r="E28" s="54"/>
      <c r="F28" s="54"/>
      <c r="G28" s="54"/>
      <c r="H28" s="54"/>
      <c r="I28" s="54"/>
      <c r="J28" s="54"/>
      <c r="K28" s="54"/>
      <c r="L28" s="54"/>
    </row>
    <row r="29" spans="1:12" ht="30" customHeight="1" x14ac:dyDescent="0.25">
      <c r="A29" s="55"/>
      <c r="B29" s="55"/>
      <c r="C29" s="55"/>
      <c r="D29" s="55"/>
      <c r="E29" s="55"/>
      <c r="F29" s="55"/>
      <c r="G29" s="55"/>
      <c r="H29" s="55"/>
      <c r="I29" s="55"/>
      <c r="J29" s="55"/>
      <c r="K29" s="55"/>
      <c r="L29" s="55"/>
    </row>
    <row r="30" spans="1:12" ht="30" customHeight="1" x14ac:dyDescent="0.25">
      <c r="A30" s="54" t="s">
        <v>20</v>
      </c>
      <c r="B30" s="54"/>
      <c r="C30" s="54"/>
      <c r="D30" s="54"/>
      <c r="E30" s="54"/>
      <c r="F30" s="54"/>
      <c r="G30" s="54"/>
      <c r="H30" s="54"/>
      <c r="I30" s="54"/>
      <c r="J30" s="54"/>
      <c r="K30" s="54"/>
      <c r="L30" s="54"/>
    </row>
    <row r="31" spans="1:12" ht="30" customHeight="1" x14ac:dyDescent="0.25">
      <c r="A31" s="26" t="s">
        <v>18</v>
      </c>
      <c r="B31" s="25"/>
      <c r="C31" s="26" t="s">
        <v>19</v>
      </c>
      <c r="D31" s="25"/>
      <c r="E31" s="58"/>
      <c r="F31" s="59"/>
      <c r="G31" s="59"/>
      <c r="H31" s="59"/>
      <c r="I31" s="59"/>
      <c r="J31" s="59"/>
      <c r="K31" s="59"/>
      <c r="L31" s="60"/>
    </row>
    <row r="32" spans="1:12" ht="24" customHeight="1" x14ac:dyDescent="0.25">
      <c r="A32" s="62"/>
      <c r="B32" s="62"/>
      <c r="C32" s="62"/>
      <c r="D32" s="62"/>
      <c r="E32" s="62"/>
      <c r="F32" s="62"/>
      <c r="G32" s="62"/>
      <c r="H32" s="62"/>
      <c r="I32" s="62"/>
      <c r="J32" s="62"/>
      <c r="K32" s="62"/>
      <c r="L32" s="62"/>
    </row>
    <row r="33" spans="1:12" ht="30" customHeight="1" x14ac:dyDescent="0.25">
      <c r="A33" s="54" t="s">
        <v>24</v>
      </c>
      <c r="B33" s="54"/>
      <c r="C33" s="54"/>
      <c r="D33" s="54"/>
      <c r="E33" s="54"/>
      <c r="F33" s="54"/>
      <c r="G33" s="54"/>
      <c r="H33" s="54"/>
      <c r="I33" s="54"/>
      <c r="J33" s="54"/>
      <c r="K33" s="54"/>
      <c r="L33" s="54"/>
    </row>
    <row r="34" spans="1:12" ht="30" customHeight="1" x14ac:dyDescent="0.25">
      <c r="A34" s="26" t="s">
        <v>23</v>
      </c>
      <c r="B34" s="61" t="s">
        <v>21</v>
      </c>
      <c r="C34" s="61"/>
      <c r="D34" s="61" t="s">
        <v>22</v>
      </c>
      <c r="E34" s="61"/>
      <c r="F34" s="27" t="s">
        <v>6</v>
      </c>
      <c r="G34" s="61" t="s">
        <v>86</v>
      </c>
      <c r="H34" s="61"/>
      <c r="I34" s="61" t="s">
        <v>91</v>
      </c>
      <c r="J34" s="61"/>
      <c r="K34" s="61" t="s">
        <v>92</v>
      </c>
      <c r="L34" s="61"/>
    </row>
    <row r="35" spans="1:12" ht="30" customHeight="1" x14ac:dyDescent="0.25">
      <c r="A35" s="24">
        <v>1</v>
      </c>
      <c r="B35" s="36"/>
      <c r="C35" s="35"/>
      <c r="D35" s="74"/>
      <c r="E35" s="74"/>
      <c r="F35" s="30"/>
      <c r="G35" s="74"/>
      <c r="H35" s="74"/>
      <c r="I35" s="71"/>
      <c r="J35" s="71"/>
      <c r="K35" s="71"/>
      <c r="L35" s="71"/>
    </row>
    <row r="36" spans="1:12" ht="30" customHeight="1" x14ac:dyDescent="0.25">
      <c r="A36" s="24">
        <v>2</v>
      </c>
      <c r="B36" s="36"/>
      <c r="C36" s="35"/>
      <c r="D36" s="74"/>
      <c r="E36" s="74"/>
      <c r="F36" s="30"/>
      <c r="G36" s="74"/>
      <c r="H36" s="74"/>
      <c r="I36" s="71"/>
      <c r="J36" s="71"/>
      <c r="K36" s="71"/>
      <c r="L36" s="71"/>
    </row>
    <row r="37" spans="1:12" ht="30" customHeight="1" x14ac:dyDescent="0.25">
      <c r="A37" s="24">
        <v>3</v>
      </c>
      <c r="B37" s="36"/>
      <c r="C37" s="35"/>
      <c r="D37" s="74"/>
      <c r="E37" s="74"/>
      <c r="F37" s="30"/>
      <c r="G37" s="74"/>
      <c r="H37" s="74"/>
      <c r="I37" s="71"/>
      <c r="J37" s="71"/>
      <c r="K37" s="71"/>
      <c r="L37" s="71"/>
    </row>
    <row r="38" spans="1:12" ht="30" customHeight="1" x14ac:dyDescent="0.25">
      <c r="A38" s="24">
        <v>4</v>
      </c>
      <c r="B38" s="36"/>
      <c r="C38" s="35"/>
      <c r="D38" s="74"/>
      <c r="E38" s="74"/>
      <c r="F38" s="30"/>
      <c r="G38" s="74"/>
      <c r="H38" s="74"/>
      <c r="I38" s="71"/>
      <c r="J38" s="71"/>
      <c r="K38" s="71"/>
      <c r="L38" s="71"/>
    </row>
    <row r="39" spans="1:12" ht="22.5" customHeight="1" x14ac:dyDescent="0.25">
      <c r="A39" s="57" t="s">
        <v>87</v>
      </c>
      <c r="B39" s="57"/>
      <c r="C39" s="57"/>
      <c r="D39" s="57"/>
      <c r="E39" s="57"/>
      <c r="F39" s="57"/>
      <c r="G39" s="57"/>
      <c r="H39" s="57"/>
      <c r="I39" s="57"/>
      <c r="J39" s="57"/>
      <c r="K39" s="57"/>
      <c r="L39" s="57"/>
    </row>
    <row r="40" spans="1:12" ht="19.5" customHeight="1" x14ac:dyDescent="0.25">
      <c r="A40" s="57"/>
      <c r="B40" s="57"/>
      <c r="C40" s="57"/>
      <c r="D40" s="57"/>
      <c r="E40" s="57"/>
      <c r="F40" s="57"/>
      <c r="G40" s="57"/>
      <c r="H40" s="57"/>
      <c r="I40" s="57"/>
      <c r="J40" s="57"/>
      <c r="K40" s="57"/>
      <c r="L40" s="57"/>
    </row>
    <row r="41" spans="1:12" ht="30" customHeight="1" x14ac:dyDescent="0.25">
      <c r="A41" s="63" t="s">
        <v>56</v>
      </c>
      <c r="B41" s="63"/>
      <c r="C41" s="63"/>
      <c r="D41" s="63"/>
      <c r="E41" s="64"/>
      <c r="F41" s="65"/>
      <c r="G41" s="65"/>
      <c r="H41" s="66"/>
      <c r="I41" s="67" t="s">
        <v>57</v>
      </c>
      <c r="J41" s="68"/>
      <c r="K41" s="69" t="str">
        <f>IF(E41="","",SUM(VLOOKUP(E41,B35:L38,8,FALSE),VLOOKUP(E41,B35:L38,10,FALSE)))</f>
        <v/>
      </c>
      <c r="L41" s="69"/>
    </row>
    <row r="42" spans="1:12" ht="30" customHeight="1" x14ac:dyDescent="0.25">
      <c r="A42" s="67" t="s">
        <v>328</v>
      </c>
      <c r="B42" s="68"/>
      <c r="C42" s="89"/>
      <c r="D42" s="90"/>
      <c r="E42" s="90"/>
      <c r="F42" s="90"/>
      <c r="G42" s="90"/>
      <c r="H42" s="90"/>
      <c r="I42" s="90"/>
      <c r="J42" s="90"/>
      <c r="K42" s="90"/>
      <c r="L42" s="91"/>
    </row>
    <row r="43" spans="1:12" ht="30" customHeight="1" x14ac:dyDescent="0.25">
      <c r="A43" s="67" t="s">
        <v>329</v>
      </c>
      <c r="B43" s="68"/>
      <c r="C43" s="89"/>
      <c r="D43" s="90"/>
      <c r="E43" s="90"/>
      <c r="F43" s="90"/>
      <c r="G43" s="90"/>
      <c r="H43" s="90"/>
      <c r="I43" s="90"/>
      <c r="J43" s="90"/>
      <c r="K43" s="90"/>
      <c r="L43" s="91"/>
    </row>
    <row r="44" spans="1:12" ht="30" customHeight="1" x14ac:dyDescent="0.25">
      <c r="A44" s="67" t="s">
        <v>330</v>
      </c>
      <c r="B44" s="68"/>
      <c r="C44" s="89"/>
      <c r="D44" s="90"/>
      <c r="E44" s="90"/>
      <c r="F44" s="90"/>
      <c r="G44" s="90"/>
      <c r="H44" s="90"/>
      <c r="I44" s="90"/>
      <c r="J44" s="90"/>
      <c r="K44" s="90"/>
      <c r="L44" s="91"/>
    </row>
    <row r="45" spans="1:12" ht="30" customHeight="1" x14ac:dyDescent="0.25">
      <c r="A45" s="67" t="s">
        <v>331</v>
      </c>
      <c r="B45" s="68"/>
      <c r="C45" s="89"/>
      <c r="D45" s="90"/>
      <c r="E45" s="90"/>
      <c r="F45" s="90"/>
      <c r="G45" s="90"/>
      <c r="H45" s="90"/>
      <c r="I45" s="90"/>
      <c r="J45" s="90"/>
      <c r="K45" s="90"/>
      <c r="L45" s="91"/>
    </row>
    <row r="46" spans="1:12" ht="30" customHeight="1" x14ac:dyDescent="0.25">
      <c r="A46" s="54" t="s">
        <v>25</v>
      </c>
      <c r="B46" s="54"/>
      <c r="C46" s="54"/>
      <c r="D46" s="54"/>
      <c r="E46" s="54"/>
      <c r="F46" s="54"/>
      <c r="G46" s="54"/>
      <c r="H46" s="54"/>
      <c r="I46" s="54"/>
      <c r="J46" s="54"/>
      <c r="K46" s="54"/>
      <c r="L46" s="54"/>
    </row>
    <row r="47" spans="1:12" ht="30" customHeight="1" x14ac:dyDescent="0.25">
      <c r="A47" s="52"/>
      <c r="B47" s="52"/>
      <c r="C47" s="52"/>
      <c r="D47" s="52"/>
      <c r="E47" s="52"/>
      <c r="F47" s="52"/>
      <c r="G47" s="52"/>
      <c r="H47" s="52"/>
      <c r="I47" s="52"/>
      <c r="J47" s="52"/>
      <c r="K47" s="52"/>
      <c r="L47" s="52"/>
    </row>
    <row r="48" spans="1:12" ht="30" customHeight="1" x14ac:dyDescent="0.25">
      <c r="A48" s="52"/>
      <c r="B48" s="52"/>
      <c r="C48" s="52"/>
      <c r="D48" s="52"/>
      <c r="E48" s="52"/>
      <c r="F48" s="52"/>
      <c r="G48" s="52"/>
      <c r="H48" s="52"/>
      <c r="I48" s="52"/>
      <c r="J48" s="52"/>
      <c r="K48" s="52"/>
      <c r="L48" s="52"/>
    </row>
    <row r="49" spans="1:12" ht="30" customHeight="1" x14ac:dyDescent="0.25">
      <c r="A49" s="52"/>
      <c r="B49" s="52"/>
      <c r="C49" s="52"/>
      <c r="D49" s="52"/>
      <c r="E49" s="52"/>
      <c r="F49" s="52"/>
      <c r="G49" s="52"/>
      <c r="H49" s="52"/>
      <c r="I49" s="52"/>
      <c r="J49" s="52"/>
      <c r="K49" s="52"/>
      <c r="L49" s="52"/>
    </row>
    <row r="50" spans="1:12" ht="26.25" customHeight="1" x14ac:dyDescent="0.25">
      <c r="C50" s="70"/>
      <c r="D50" s="70"/>
      <c r="E50" s="70"/>
      <c r="F50" s="70"/>
      <c r="G50" s="70"/>
      <c r="H50" s="70"/>
      <c r="I50" s="70"/>
      <c r="J50" s="70"/>
      <c r="K50" s="70"/>
      <c r="L50" s="70"/>
    </row>
    <row r="51" spans="1:12" ht="30" customHeight="1" x14ac:dyDescent="0.25">
      <c r="A51" s="54" t="s">
        <v>26</v>
      </c>
      <c r="B51" s="54"/>
      <c r="C51" s="54"/>
      <c r="D51" s="54"/>
      <c r="E51" s="54"/>
      <c r="F51" s="54"/>
      <c r="G51" s="54"/>
      <c r="H51" s="54"/>
      <c r="I51" s="54"/>
      <c r="J51" s="54"/>
      <c r="K51" s="54"/>
      <c r="L51" s="54"/>
    </row>
    <row r="52" spans="1:12" ht="30" customHeight="1" x14ac:dyDescent="0.25">
      <c r="A52" s="56" t="s">
        <v>27</v>
      </c>
      <c r="B52" s="56"/>
      <c r="C52" s="56"/>
      <c r="D52" s="56"/>
      <c r="E52" s="56"/>
      <c r="F52" s="56"/>
      <c r="G52" s="56"/>
      <c r="H52" s="56"/>
      <c r="I52" s="56"/>
      <c r="J52" s="56"/>
      <c r="K52" s="56"/>
      <c r="L52" s="56"/>
    </row>
    <row r="53" spans="1:12" ht="30" customHeight="1" x14ac:dyDescent="0.25">
      <c r="A53" s="56"/>
      <c r="B53" s="56"/>
      <c r="C53" s="56"/>
      <c r="D53" s="56"/>
      <c r="E53" s="56"/>
      <c r="F53" s="56"/>
      <c r="G53" s="56"/>
      <c r="H53" s="56"/>
      <c r="I53" s="56"/>
      <c r="J53" s="56"/>
      <c r="K53" s="56"/>
      <c r="L53" s="56"/>
    </row>
    <row r="54" spans="1:12" ht="30" customHeight="1" x14ac:dyDescent="0.25">
      <c r="A54" s="56"/>
      <c r="B54" s="56"/>
      <c r="C54" s="56"/>
      <c r="D54" s="56"/>
      <c r="E54" s="56"/>
      <c r="F54" s="56"/>
      <c r="G54" s="56"/>
      <c r="H54" s="56"/>
      <c r="I54" s="56"/>
      <c r="J54" s="56"/>
      <c r="K54" s="56"/>
      <c r="L54" s="56"/>
    </row>
    <row r="55" spans="1:12" ht="30" customHeight="1" x14ac:dyDescent="0.25">
      <c r="A55" s="56"/>
      <c r="B55" s="56"/>
      <c r="C55" s="56"/>
      <c r="D55" s="56"/>
      <c r="E55" s="56"/>
      <c r="F55" s="56"/>
      <c r="G55" s="56"/>
      <c r="H55" s="56"/>
      <c r="I55" s="56"/>
      <c r="J55" s="56"/>
      <c r="K55" s="56"/>
      <c r="L55" s="56"/>
    </row>
  </sheetData>
  <sheetProtection algorithmName="SHA-512" hashValue="5g964BbXHbK3Iic2CuL0BN5vLFMyXh1mMB1yIOCG2fzj9Xn9wOUQ8olUOXqL14vKrF8V4DjK5PTS2tGYQZ5TBw==" saltValue="6YLU0g8QmF8ABls6pqc2Qw==" spinCount="100000" sheet="1" insertHyperlinks="0" selectLockedCells="1" sort="0" autoFilter="0" pivotTables="0"/>
  <mergeCells count="115">
    <mergeCell ref="A42:B42"/>
    <mergeCell ref="A43:B43"/>
    <mergeCell ref="A44:B44"/>
    <mergeCell ref="A45:B45"/>
    <mergeCell ref="C42:L42"/>
    <mergeCell ref="C43:L43"/>
    <mergeCell ref="C44:L44"/>
    <mergeCell ref="C45:L45"/>
    <mergeCell ref="O3:P4"/>
    <mergeCell ref="D5:L5"/>
    <mergeCell ref="D6:L6"/>
    <mergeCell ref="E14:F14"/>
    <mergeCell ref="G14:H14"/>
    <mergeCell ref="A15:L15"/>
    <mergeCell ref="K16:L16"/>
    <mergeCell ref="A16:C16"/>
    <mergeCell ref="D16:J16"/>
    <mergeCell ref="A9:B10"/>
    <mergeCell ref="A11:L11"/>
    <mergeCell ref="C14:D14"/>
    <mergeCell ref="C9:D10"/>
    <mergeCell ref="E9:F10"/>
    <mergeCell ref="K35:L35"/>
    <mergeCell ref="K36:L36"/>
    <mergeCell ref="K37:L37"/>
    <mergeCell ref="K38:L38"/>
    <mergeCell ref="G38:H38"/>
    <mergeCell ref="D36:E36"/>
    <mergeCell ref="D37:E37"/>
    <mergeCell ref="D38:E38"/>
    <mergeCell ref="G37:H37"/>
    <mergeCell ref="C1:L1"/>
    <mergeCell ref="I35:J35"/>
    <mergeCell ref="G35:H35"/>
    <mergeCell ref="D35:E35"/>
    <mergeCell ref="G36:H36"/>
    <mergeCell ref="C2:L2"/>
    <mergeCell ref="G34:H34"/>
    <mergeCell ref="I34:J34"/>
    <mergeCell ref="K34:L34"/>
    <mergeCell ref="I8:J8"/>
    <mergeCell ref="K8:L8"/>
    <mergeCell ref="C7:L7"/>
    <mergeCell ref="A3:C6"/>
    <mergeCell ref="D3:L3"/>
    <mergeCell ref="D4:L4"/>
    <mergeCell ref="A8:B8"/>
    <mergeCell ref="C8:D8"/>
    <mergeCell ref="E8:F8"/>
    <mergeCell ref="G8:H8"/>
    <mergeCell ref="K17:L17"/>
    <mergeCell ref="A22:C22"/>
    <mergeCell ref="D22:J22"/>
    <mergeCell ref="K22:L22"/>
    <mergeCell ref="A14:B14"/>
    <mergeCell ref="G9:H10"/>
    <mergeCell ref="I9:J10"/>
    <mergeCell ref="K9:L10"/>
    <mergeCell ref="A17:C17"/>
    <mergeCell ref="I14:J14"/>
    <mergeCell ref="K14:L14"/>
    <mergeCell ref="D17:J17"/>
    <mergeCell ref="A18:C18"/>
    <mergeCell ref="A19:C19"/>
    <mergeCell ref="A13:B13"/>
    <mergeCell ref="A12:L12"/>
    <mergeCell ref="C13:H13"/>
    <mergeCell ref="I13:J13"/>
    <mergeCell ref="K13:L13"/>
    <mergeCell ref="K25:L25"/>
    <mergeCell ref="A26:C26"/>
    <mergeCell ref="D26:J26"/>
    <mergeCell ref="K26:L26"/>
    <mergeCell ref="K18:L18"/>
    <mergeCell ref="K19:L19"/>
    <mergeCell ref="K20:L20"/>
    <mergeCell ref="K21:L21"/>
    <mergeCell ref="K24:L24"/>
    <mergeCell ref="A20:C20"/>
    <mergeCell ref="A21:C21"/>
    <mergeCell ref="A24:C24"/>
    <mergeCell ref="A25:C25"/>
    <mergeCell ref="D18:J18"/>
    <mergeCell ref="D19:J19"/>
    <mergeCell ref="D20:J20"/>
    <mergeCell ref="D21:J21"/>
    <mergeCell ref="D24:J24"/>
    <mergeCell ref="D25:J25"/>
    <mergeCell ref="A23:C23"/>
    <mergeCell ref="D23:J23"/>
    <mergeCell ref="K23:L23"/>
    <mergeCell ref="A27:C27"/>
    <mergeCell ref="D27:J27"/>
    <mergeCell ref="K27:L27"/>
    <mergeCell ref="A28:L28"/>
    <mergeCell ref="A29:L29"/>
    <mergeCell ref="A47:L49"/>
    <mergeCell ref="A51:L51"/>
    <mergeCell ref="A52:L55"/>
    <mergeCell ref="A39:L40"/>
    <mergeCell ref="A30:L30"/>
    <mergeCell ref="E31:L31"/>
    <mergeCell ref="A33:L33"/>
    <mergeCell ref="B34:C34"/>
    <mergeCell ref="D34:E34"/>
    <mergeCell ref="A32:L32"/>
    <mergeCell ref="A46:L46"/>
    <mergeCell ref="A41:D41"/>
    <mergeCell ref="E41:H41"/>
    <mergeCell ref="I41:J41"/>
    <mergeCell ref="K41:L41"/>
    <mergeCell ref="C50:L50"/>
    <mergeCell ref="I36:J36"/>
    <mergeCell ref="I37:J37"/>
    <mergeCell ref="I38:J38"/>
  </mergeCells>
  <dataValidations count="5">
    <dataValidation type="list" allowBlank="1" showInputMessage="1" showErrorMessage="1" sqref="A9:B10">
      <formula1>"Nacional,Internacional"</formula1>
    </dataValidation>
    <dataValidation type="list" allowBlank="1" showInputMessage="1" showErrorMessage="1" sqref="E41:H41">
      <formula1>$B$35:$B$38</formula1>
    </dataValidation>
    <dataValidation type="list" allowBlank="1" showInputMessage="1" showErrorMessage="1" sqref="C9:D10">
      <formula1>Grupos</formula1>
    </dataValidation>
    <dataValidation type="list" allowBlank="1" showInputMessage="1" showErrorMessage="1" sqref="C13">
      <formula1>INDIRECT($C$9)</formula1>
    </dataValidation>
    <dataValidation type="list" allowBlank="1" showInputMessage="1" showErrorMessage="1" sqref="K13:L13">
      <formula1>"Sí,No"</formula1>
    </dataValidation>
  </dataValidations>
  <pageMargins left="0.70866141732283472" right="0.70866141732283472" top="0.74803149606299213" bottom="0.74803149606299213" header="0.31496062992125984" footer="0.31496062992125984"/>
  <pageSetup paperSize="9" scale="47" fitToHeight="0" orientation="portrait" r:id="rId1"/>
  <headerFooter>
    <oddFooter>&amp;RCódigo: F-AP-07, versión 01</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Parámetros!$F$2:$F$38</xm:f>
          </x14:formula1>
          <xm:sqref>A17:C27</xm:sqref>
        </x14:dataValidation>
        <x14:dataValidation type="list" allowBlank="1" showInputMessage="1" showErrorMessage="1">
          <x14:formula1>
            <xm:f>Parámetros!$G$2:$G$7</xm:f>
          </x14:formula1>
          <xm:sqref>C42:L44</xm:sqref>
        </x14:dataValidation>
        <x14:dataValidation type="list" allowBlank="1" showInputMessage="1" showErrorMessage="1">
          <x14:formula1>
            <xm:f>Parámetros!$H$2:$H$221</xm:f>
          </x14:formula1>
          <xm:sqref>E9:F10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pageSetUpPr fitToPage="1"/>
  </sheetPr>
  <dimension ref="A1:J76"/>
  <sheetViews>
    <sheetView showGridLines="0" workbookViewId="0">
      <selection activeCell="A31" sqref="A31:J31"/>
    </sheetView>
  </sheetViews>
  <sheetFormatPr baseColWidth="10" defaultColWidth="11.42578125" defaultRowHeight="15" x14ac:dyDescent="0.25"/>
  <cols>
    <col min="1" max="1" width="15.7109375" style="1" customWidth="1"/>
    <col min="2" max="2" width="16.5703125" style="1" customWidth="1"/>
    <col min="3" max="5" width="15.7109375" style="1" customWidth="1"/>
    <col min="6" max="6" width="16.5703125" style="1" customWidth="1"/>
    <col min="7" max="7" width="15.7109375" style="1" customWidth="1"/>
    <col min="8" max="16384" width="11.42578125" style="1"/>
  </cols>
  <sheetData>
    <row r="1" spans="1:10" ht="15" customHeight="1" x14ac:dyDescent="0.25">
      <c r="A1" s="81"/>
      <c r="B1" s="81"/>
      <c r="C1" s="81"/>
      <c r="D1" s="81"/>
      <c r="E1" s="81"/>
      <c r="F1" s="81"/>
      <c r="G1" s="81"/>
      <c r="H1" s="81"/>
      <c r="I1" s="81"/>
      <c r="J1" s="81"/>
    </row>
    <row r="2" spans="1:10" ht="15" customHeight="1" x14ac:dyDescent="0.25">
      <c r="A2" s="82"/>
      <c r="B2" s="82"/>
      <c r="C2" s="82"/>
      <c r="D2" s="82"/>
      <c r="E2" s="82"/>
      <c r="F2" s="82"/>
      <c r="G2" s="82"/>
      <c r="H2" s="82"/>
      <c r="I2" s="82"/>
      <c r="J2" s="82"/>
    </row>
    <row r="3" spans="1:10" ht="18" customHeight="1" x14ac:dyDescent="0.25">
      <c r="A3" s="62"/>
      <c r="B3" s="126" t="s">
        <v>30</v>
      </c>
      <c r="C3" s="126"/>
      <c r="D3" s="126"/>
      <c r="E3" s="126"/>
      <c r="F3" s="126"/>
      <c r="G3" s="126"/>
      <c r="H3" s="61" t="s">
        <v>31</v>
      </c>
      <c r="I3" s="61"/>
      <c r="J3" s="61"/>
    </row>
    <row r="4" spans="1:10" ht="18" customHeight="1" x14ac:dyDescent="0.25">
      <c r="A4" s="62"/>
      <c r="B4" s="127"/>
      <c r="C4" s="127"/>
      <c r="D4" s="127"/>
      <c r="E4" s="127"/>
      <c r="F4" s="127"/>
      <c r="G4" s="127"/>
      <c r="H4" s="61"/>
      <c r="I4" s="61"/>
      <c r="J4" s="61"/>
    </row>
    <row r="5" spans="1:10" ht="18" customHeight="1" x14ac:dyDescent="0.25">
      <c r="A5" s="62"/>
      <c r="B5" s="128" t="s">
        <v>29</v>
      </c>
      <c r="C5" s="128"/>
      <c r="D5" s="128"/>
      <c r="E5" s="128"/>
      <c r="F5" s="128"/>
      <c r="G5" s="128"/>
      <c r="H5" s="14" t="s">
        <v>32</v>
      </c>
      <c r="I5" s="14" t="s">
        <v>33</v>
      </c>
      <c r="J5" s="14" t="s">
        <v>34</v>
      </c>
    </row>
    <row r="6" spans="1:10" ht="18" customHeight="1" x14ac:dyDescent="0.25">
      <c r="A6" s="62"/>
      <c r="B6" s="129"/>
      <c r="C6" s="129"/>
      <c r="D6" s="129"/>
      <c r="E6" s="129"/>
      <c r="F6" s="129"/>
      <c r="G6" s="129"/>
      <c r="H6" s="21"/>
      <c r="I6" s="21"/>
      <c r="J6" s="21"/>
    </row>
    <row r="7" spans="1:10" s="2" customFormat="1" ht="26.1" customHeight="1" x14ac:dyDescent="0.25">
      <c r="A7" s="123" t="s">
        <v>36</v>
      </c>
      <c r="B7" s="54"/>
      <c r="C7" s="54"/>
      <c r="D7" s="54"/>
      <c r="E7" s="124"/>
      <c r="F7" s="124"/>
      <c r="G7" s="124"/>
      <c r="H7" s="97" t="s">
        <v>35</v>
      </c>
      <c r="I7" s="97"/>
      <c r="J7" s="97"/>
    </row>
    <row r="8" spans="1:10" ht="26.1" customHeight="1" x14ac:dyDescent="0.25">
      <c r="A8" s="54"/>
      <c r="B8" s="54"/>
      <c r="C8" s="54"/>
      <c r="D8" s="54"/>
      <c r="E8" s="124"/>
      <c r="F8" s="124"/>
      <c r="G8" s="124"/>
      <c r="H8" s="125"/>
      <c r="I8" s="125"/>
      <c r="J8" s="125"/>
    </row>
    <row r="9" spans="1:10" ht="26.1" customHeight="1" x14ac:dyDescent="0.25">
      <c r="A9" s="97" t="s">
        <v>37</v>
      </c>
      <c r="B9" s="97"/>
      <c r="C9" s="97"/>
      <c r="D9" s="97"/>
      <c r="E9" s="97"/>
      <c r="F9" s="97"/>
      <c r="G9" s="97"/>
      <c r="H9" s="97"/>
      <c r="I9" s="97"/>
      <c r="J9" s="97"/>
    </row>
    <row r="10" spans="1:10" ht="30" customHeight="1" x14ac:dyDescent="0.25">
      <c r="A10" s="114"/>
      <c r="B10" s="115"/>
      <c r="C10" s="115"/>
      <c r="D10" s="115"/>
      <c r="E10" s="115"/>
      <c r="F10" s="115"/>
      <c r="G10" s="115"/>
      <c r="H10" s="115"/>
      <c r="I10" s="115"/>
      <c r="J10" s="116"/>
    </row>
    <row r="11" spans="1:10" ht="30" customHeight="1" x14ac:dyDescent="0.25">
      <c r="A11" s="117"/>
      <c r="B11" s="118"/>
      <c r="C11" s="118"/>
      <c r="D11" s="118"/>
      <c r="E11" s="118"/>
      <c r="F11" s="118"/>
      <c r="G11" s="118"/>
      <c r="H11" s="118"/>
      <c r="I11" s="118"/>
      <c r="J11" s="119"/>
    </row>
    <row r="12" spans="1:10" ht="30" customHeight="1" x14ac:dyDescent="0.25">
      <c r="A12" s="117"/>
      <c r="B12" s="118"/>
      <c r="C12" s="118"/>
      <c r="D12" s="118"/>
      <c r="E12" s="118"/>
      <c r="F12" s="118"/>
      <c r="G12" s="118"/>
      <c r="H12" s="118"/>
      <c r="I12" s="118"/>
      <c r="J12" s="119"/>
    </row>
    <row r="13" spans="1:10" ht="30" customHeight="1" x14ac:dyDescent="0.25">
      <c r="A13" s="120"/>
      <c r="B13" s="121"/>
      <c r="C13" s="121"/>
      <c r="D13" s="121"/>
      <c r="E13" s="121"/>
      <c r="F13" s="121"/>
      <c r="G13" s="121"/>
      <c r="H13" s="121"/>
      <c r="I13" s="121"/>
      <c r="J13" s="122"/>
    </row>
    <row r="14" spans="1:10" ht="26.1" customHeight="1" x14ac:dyDescent="0.25">
      <c r="A14" s="97" t="s">
        <v>38</v>
      </c>
      <c r="B14" s="97"/>
      <c r="C14" s="97"/>
      <c r="D14" s="97"/>
      <c r="E14" s="97"/>
      <c r="F14" s="97"/>
      <c r="G14" s="97"/>
      <c r="H14" s="97"/>
      <c r="I14" s="97"/>
      <c r="J14" s="97"/>
    </row>
    <row r="15" spans="1:10" ht="30" customHeight="1" x14ac:dyDescent="0.25">
      <c r="A15" s="58" t="s">
        <v>77</v>
      </c>
      <c r="B15" s="59"/>
      <c r="C15" s="59"/>
      <c r="D15" s="59"/>
      <c r="E15" s="59"/>
      <c r="F15" s="59"/>
      <c r="G15" s="60"/>
      <c r="H15" s="58" t="s">
        <v>78</v>
      </c>
      <c r="I15" s="59"/>
      <c r="J15" s="60"/>
    </row>
    <row r="16" spans="1:10" ht="30" customHeight="1" x14ac:dyDescent="0.25">
      <c r="A16" s="101"/>
      <c r="B16" s="102"/>
      <c r="C16" s="102"/>
      <c r="D16" s="102"/>
      <c r="E16" s="102"/>
      <c r="F16" s="102"/>
      <c r="G16" s="103"/>
      <c r="H16" s="98"/>
      <c r="I16" s="99"/>
      <c r="J16" s="100"/>
    </row>
    <row r="17" spans="1:10" ht="30" customHeight="1" x14ac:dyDescent="0.25">
      <c r="A17" s="101"/>
      <c r="B17" s="102"/>
      <c r="C17" s="102"/>
      <c r="D17" s="102"/>
      <c r="E17" s="102"/>
      <c r="F17" s="102"/>
      <c r="G17" s="103"/>
      <c r="H17" s="98"/>
      <c r="I17" s="99"/>
      <c r="J17" s="100"/>
    </row>
    <row r="18" spans="1:10" ht="30" customHeight="1" x14ac:dyDescent="0.25">
      <c r="A18" s="101"/>
      <c r="B18" s="102"/>
      <c r="C18" s="102"/>
      <c r="D18" s="102"/>
      <c r="E18" s="102"/>
      <c r="F18" s="102"/>
      <c r="G18" s="103"/>
      <c r="H18" s="98"/>
      <c r="I18" s="99"/>
      <c r="J18" s="100"/>
    </row>
    <row r="19" spans="1:10" ht="30" customHeight="1" x14ac:dyDescent="0.25">
      <c r="A19" s="101"/>
      <c r="B19" s="102"/>
      <c r="C19" s="102"/>
      <c r="D19" s="102"/>
      <c r="E19" s="102"/>
      <c r="F19" s="102"/>
      <c r="G19" s="103"/>
      <c r="H19" s="98"/>
      <c r="I19" s="99"/>
      <c r="J19" s="100"/>
    </row>
    <row r="20" spans="1:10" ht="30" customHeight="1" x14ac:dyDescent="0.25">
      <c r="A20" s="101"/>
      <c r="B20" s="102"/>
      <c r="C20" s="102"/>
      <c r="D20" s="102"/>
      <c r="E20" s="102"/>
      <c r="F20" s="102"/>
      <c r="G20" s="103"/>
      <c r="H20" s="98"/>
      <c r="I20" s="99"/>
      <c r="J20" s="100"/>
    </row>
    <row r="21" spans="1:10" ht="30" customHeight="1" x14ac:dyDescent="0.25">
      <c r="A21" s="101"/>
      <c r="B21" s="102"/>
      <c r="C21" s="102"/>
      <c r="D21" s="102"/>
      <c r="E21" s="102"/>
      <c r="F21" s="102"/>
      <c r="G21" s="103"/>
      <c r="H21" s="98"/>
      <c r="I21" s="99"/>
      <c r="J21" s="100"/>
    </row>
    <row r="22" spans="1:10" ht="30" customHeight="1" x14ac:dyDescent="0.25">
      <c r="A22" s="101"/>
      <c r="B22" s="102"/>
      <c r="C22" s="102"/>
      <c r="D22" s="102"/>
      <c r="E22" s="102"/>
      <c r="F22" s="102"/>
      <c r="G22" s="103"/>
      <c r="H22" s="98"/>
      <c r="I22" s="99"/>
      <c r="J22" s="100"/>
    </row>
    <row r="23" spans="1:10" ht="30" customHeight="1" x14ac:dyDescent="0.25">
      <c r="A23" s="101"/>
      <c r="B23" s="102"/>
      <c r="C23" s="102"/>
      <c r="D23" s="102"/>
      <c r="E23" s="102"/>
      <c r="F23" s="102"/>
      <c r="G23" s="103"/>
      <c r="H23" s="98"/>
      <c r="I23" s="99"/>
      <c r="J23" s="100"/>
    </row>
    <row r="24" spans="1:10" ht="30" customHeight="1" x14ac:dyDescent="0.25">
      <c r="A24" s="101"/>
      <c r="B24" s="102"/>
      <c r="C24" s="102"/>
      <c r="D24" s="102"/>
      <c r="E24" s="102"/>
      <c r="F24" s="102"/>
      <c r="G24" s="103"/>
      <c r="H24" s="98"/>
      <c r="I24" s="99"/>
      <c r="J24" s="100"/>
    </row>
    <row r="25" spans="1:10" ht="30" customHeight="1" x14ac:dyDescent="0.25">
      <c r="A25" s="101"/>
      <c r="B25" s="102"/>
      <c r="C25" s="102"/>
      <c r="D25" s="102"/>
      <c r="E25" s="102"/>
      <c r="F25" s="102"/>
      <c r="G25" s="103"/>
      <c r="H25" s="98"/>
      <c r="I25" s="99"/>
      <c r="J25" s="100"/>
    </row>
    <row r="26" spans="1:10" ht="30" customHeight="1" x14ac:dyDescent="0.25">
      <c r="A26" s="101"/>
      <c r="B26" s="102"/>
      <c r="C26" s="102"/>
      <c r="D26" s="102"/>
      <c r="E26" s="102"/>
      <c r="F26" s="102"/>
      <c r="G26" s="103"/>
      <c r="H26" s="98"/>
      <c r="I26" s="99"/>
      <c r="J26" s="100"/>
    </row>
    <row r="27" spans="1:10" ht="26.1" customHeight="1" x14ac:dyDescent="0.25">
      <c r="A27" s="97" t="s">
        <v>39</v>
      </c>
      <c r="B27" s="97"/>
      <c r="C27" s="97"/>
      <c r="D27" s="97"/>
      <c r="E27" s="97"/>
      <c r="F27" s="97"/>
      <c r="G27" s="97"/>
      <c r="H27" s="97"/>
      <c r="I27" s="97"/>
      <c r="J27" s="97"/>
    </row>
    <row r="28" spans="1:10" ht="24.95" customHeight="1" x14ac:dyDescent="0.25">
      <c r="A28" s="15" t="s">
        <v>40</v>
      </c>
      <c r="B28" s="112" t="s">
        <v>41</v>
      </c>
      <c r="C28" s="112"/>
      <c r="D28" s="112"/>
      <c r="E28" s="112"/>
      <c r="F28" s="112"/>
      <c r="G28" s="112"/>
      <c r="H28" s="112"/>
      <c r="I28" s="112"/>
      <c r="J28" s="113"/>
    </row>
    <row r="29" spans="1:10" ht="24.95" customHeight="1" x14ac:dyDescent="0.25">
      <c r="A29" s="108" t="s">
        <v>42</v>
      </c>
      <c r="B29" s="109"/>
      <c r="C29" s="109"/>
      <c r="D29" s="109"/>
      <c r="E29" s="109"/>
      <c r="F29" s="109"/>
      <c r="G29" s="109"/>
      <c r="H29" s="109"/>
      <c r="I29" s="109"/>
      <c r="J29" s="110"/>
    </row>
    <row r="30" spans="1:10" ht="24.95" customHeight="1" x14ac:dyDescent="0.25">
      <c r="A30" s="97" t="s">
        <v>89</v>
      </c>
      <c r="B30" s="97"/>
      <c r="C30" s="97"/>
      <c r="D30" s="97"/>
      <c r="E30" s="97"/>
      <c r="F30" s="97"/>
      <c r="G30" s="97"/>
      <c r="H30" s="97"/>
      <c r="I30" s="97"/>
      <c r="J30" s="97"/>
    </row>
    <row r="31" spans="1:10" ht="24.95" customHeight="1" x14ac:dyDescent="0.25">
      <c r="A31" s="111"/>
      <c r="B31" s="111"/>
      <c r="C31" s="111"/>
      <c r="D31" s="111"/>
      <c r="E31" s="111"/>
      <c r="F31" s="111"/>
      <c r="G31" s="111"/>
      <c r="H31" s="111"/>
      <c r="I31" s="111"/>
      <c r="J31" s="111"/>
    </row>
    <row r="32" spans="1:10" ht="24.95" customHeight="1" x14ac:dyDescent="0.25">
      <c r="A32" s="97" t="s">
        <v>43</v>
      </c>
      <c r="B32" s="97"/>
      <c r="C32" s="97"/>
      <c r="D32" s="97"/>
      <c r="E32" s="97"/>
      <c r="F32" s="97"/>
      <c r="G32" s="97"/>
      <c r="H32" s="97"/>
      <c r="I32" s="97"/>
      <c r="J32" s="97"/>
    </row>
    <row r="33" spans="1:10" ht="24.95" customHeight="1" x14ac:dyDescent="0.25">
      <c r="A33" s="20" t="s">
        <v>18</v>
      </c>
      <c r="B33" s="19"/>
      <c r="C33" s="20" t="s">
        <v>19</v>
      </c>
      <c r="D33" s="3"/>
      <c r="E33" s="106"/>
      <c r="F33" s="106"/>
      <c r="G33" s="106"/>
      <c r="H33" s="106"/>
      <c r="I33" s="106"/>
      <c r="J33" s="106"/>
    </row>
    <row r="34" spans="1:10" ht="24.95" customHeight="1" x14ac:dyDescent="0.25">
      <c r="A34" s="97" t="s">
        <v>44</v>
      </c>
      <c r="B34" s="97"/>
      <c r="C34" s="97"/>
      <c r="D34" s="97"/>
      <c r="E34" s="97"/>
      <c r="F34" s="97"/>
      <c r="G34" s="97"/>
      <c r="H34" s="97"/>
      <c r="I34" s="97"/>
      <c r="J34" s="97"/>
    </row>
    <row r="35" spans="1:10" ht="24.95" customHeight="1" x14ac:dyDescent="0.25">
      <c r="A35" s="4"/>
      <c r="B35" s="5"/>
      <c r="C35" s="5"/>
      <c r="D35" s="5"/>
      <c r="E35" s="5"/>
      <c r="F35" s="5"/>
      <c r="G35" s="5"/>
      <c r="H35" s="5"/>
      <c r="I35" s="5"/>
      <c r="J35" s="6"/>
    </row>
    <row r="36" spans="1:10" ht="24.95" customHeight="1" x14ac:dyDescent="0.25">
      <c r="A36" s="7"/>
      <c r="B36" s="8"/>
      <c r="C36" s="8"/>
      <c r="D36" s="8"/>
      <c r="E36" s="8"/>
      <c r="F36" s="8"/>
      <c r="G36" s="8"/>
      <c r="H36" s="8"/>
      <c r="I36" s="8"/>
      <c r="J36" s="9"/>
    </row>
    <row r="37" spans="1:10" ht="24.95" customHeight="1" x14ac:dyDescent="0.25">
      <c r="A37" s="7"/>
      <c r="B37" s="8"/>
      <c r="C37" s="8"/>
      <c r="D37" s="8"/>
      <c r="E37" s="8"/>
      <c r="F37" s="8"/>
      <c r="G37" s="8"/>
      <c r="H37" s="8"/>
      <c r="I37" s="8"/>
      <c r="J37" s="9"/>
    </row>
    <row r="38" spans="1:10" ht="24.95" customHeight="1" x14ac:dyDescent="0.25">
      <c r="A38" s="10"/>
      <c r="B38" s="16" t="s">
        <v>45</v>
      </c>
      <c r="C38" s="107"/>
      <c r="D38" s="107"/>
      <c r="E38" s="107"/>
      <c r="F38" s="16" t="s">
        <v>45</v>
      </c>
      <c r="G38" s="104" t="s">
        <v>41</v>
      </c>
      <c r="H38" s="104"/>
      <c r="I38" s="104"/>
      <c r="J38" s="105"/>
    </row>
    <row r="39" spans="1:10" ht="24.95" customHeight="1" x14ac:dyDescent="0.25">
      <c r="A39" s="10"/>
      <c r="B39" s="16" t="s">
        <v>46</v>
      </c>
      <c r="C39" s="107"/>
      <c r="D39" s="107"/>
      <c r="E39" s="107"/>
      <c r="F39" s="16" t="s">
        <v>46</v>
      </c>
      <c r="G39" s="104" t="s">
        <v>47</v>
      </c>
      <c r="H39" s="104"/>
      <c r="I39" s="104"/>
      <c r="J39" s="105"/>
    </row>
    <row r="40" spans="1:10" ht="24.95" customHeight="1" x14ac:dyDescent="0.25">
      <c r="A40" s="7"/>
      <c r="B40" s="8"/>
      <c r="C40" s="8"/>
      <c r="D40" s="8"/>
      <c r="E40" s="8"/>
      <c r="F40" s="8"/>
      <c r="G40" s="8"/>
      <c r="H40" s="8"/>
      <c r="I40" s="8"/>
      <c r="J40" s="9"/>
    </row>
    <row r="41" spans="1:10" ht="24.95" customHeight="1" x14ac:dyDescent="0.25">
      <c r="A41" s="7"/>
      <c r="B41" s="8"/>
      <c r="C41" s="8"/>
      <c r="D41" s="8"/>
      <c r="E41" s="8"/>
      <c r="F41" s="8"/>
      <c r="G41" s="8"/>
      <c r="H41" s="8"/>
      <c r="I41" s="8"/>
      <c r="J41" s="9"/>
    </row>
    <row r="42" spans="1:10" ht="24.95" customHeight="1" x14ac:dyDescent="0.25">
      <c r="A42" s="7"/>
      <c r="B42" s="8"/>
      <c r="C42" s="8"/>
      <c r="D42" s="8"/>
      <c r="E42" s="8"/>
      <c r="F42" s="8"/>
      <c r="G42" s="8"/>
      <c r="H42" s="8"/>
      <c r="I42" s="8"/>
      <c r="J42" s="9"/>
    </row>
    <row r="43" spans="1:10" ht="24.95" customHeight="1" x14ac:dyDescent="0.25">
      <c r="A43" s="7"/>
      <c r="B43" s="104" t="s">
        <v>48</v>
      </c>
      <c r="C43" s="104"/>
      <c r="D43" s="104"/>
      <c r="E43" s="104"/>
      <c r="F43" s="104" t="s">
        <v>49</v>
      </c>
      <c r="G43" s="104"/>
      <c r="H43" s="104"/>
      <c r="I43" s="104"/>
      <c r="J43" s="105"/>
    </row>
    <row r="44" spans="1:10" ht="24.95" customHeight="1" x14ac:dyDescent="0.25">
      <c r="A44" s="7"/>
      <c r="B44" s="8"/>
      <c r="C44" s="8"/>
      <c r="D44" s="8"/>
      <c r="E44" s="8"/>
      <c r="F44" s="8"/>
      <c r="G44" s="8"/>
      <c r="H44" s="8"/>
      <c r="I44" s="8"/>
      <c r="J44" s="9"/>
    </row>
    <row r="45" spans="1:10" ht="24.95" customHeight="1" x14ac:dyDescent="0.25">
      <c r="A45" s="11"/>
      <c r="B45" s="12"/>
      <c r="C45" s="12"/>
      <c r="D45" s="12"/>
      <c r="E45" s="12"/>
      <c r="F45" s="12"/>
      <c r="G45" s="12"/>
      <c r="H45" s="12"/>
      <c r="I45" s="12"/>
      <c r="J45" s="13"/>
    </row>
    <row r="46" spans="1:10" ht="24.95" customHeight="1" x14ac:dyDescent="0.25"/>
    <row r="47" spans="1:10" ht="24.95" customHeight="1" x14ac:dyDescent="0.25"/>
    <row r="48" spans="1:10" ht="24.95" customHeight="1" x14ac:dyDescent="0.25"/>
    <row r="49" ht="24.95" customHeight="1" x14ac:dyDescent="0.25"/>
    <row r="50" ht="24.95" customHeight="1" x14ac:dyDescent="0.25"/>
    <row r="51" ht="24.95" customHeight="1" x14ac:dyDescent="0.25"/>
    <row r="52" ht="24.95" customHeight="1" x14ac:dyDescent="0.25"/>
    <row r="53" ht="24.95" customHeight="1" x14ac:dyDescent="0.25"/>
    <row r="54" ht="24.95" customHeight="1" x14ac:dyDescent="0.25"/>
    <row r="55" ht="24.95" customHeight="1" x14ac:dyDescent="0.25"/>
    <row r="56" ht="24.95" customHeight="1" x14ac:dyDescent="0.25"/>
    <row r="57" ht="24.95" customHeight="1" x14ac:dyDescent="0.25"/>
    <row r="58" ht="24.95" customHeight="1" x14ac:dyDescent="0.25"/>
    <row r="59" ht="24.95" customHeight="1" x14ac:dyDescent="0.25"/>
    <row r="60" ht="24.95" customHeight="1" x14ac:dyDescent="0.25"/>
    <row r="61" ht="24.95" customHeight="1" x14ac:dyDescent="0.25"/>
    <row r="62" ht="24.95" customHeight="1" x14ac:dyDescent="0.25"/>
    <row r="63" ht="24.95" customHeight="1" x14ac:dyDescent="0.25"/>
    <row r="64" ht="24.95" customHeight="1" x14ac:dyDescent="0.25"/>
    <row r="65" ht="24.95" customHeight="1" x14ac:dyDescent="0.25"/>
    <row r="66" ht="24.95" customHeight="1" x14ac:dyDescent="0.25"/>
    <row r="67" ht="24.95" customHeight="1" x14ac:dyDescent="0.25"/>
    <row r="68" ht="24.95" customHeight="1" x14ac:dyDescent="0.25"/>
    <row r="69" ht="24.95" customHeight="1" x14ac:dyDescent="0.25"/>
    <row r="70" ht="24.95" customHeight="1" x14ac:dyDescent="0.25"/>
    <row r="71" ht="24.95" customHeight="1" x14ac:dyDescent="0.25"/>
    <row r="72" ht="24.95" customHeight="1" x14ac:dyDescent="0.25"/>
    <row r="73" ht="24.95" customHeight="1" x14ac:dyDescent="0.25"/>
    <row r="74" ht="24.95" customHeight="1" x14ac:dyDescent="0.25"/>
    <row r="75" ht="24.95" customHeight="1" x14ac:dyDescent="0.25"/>
    <row r="76" ht="24.95" customHeight="1" x14ac:dyDescent="0.25"/>
  </sheetData>
  <sheetProtection algorithmName="SHA-512" hashValue="DKEBBpk9sLjGxKtkpuojB6S3jDheMRpUvBJE/eocNqBbADwzE43WtumOofBhVHD6Be82MsKw/wNx1GnKZD35/Q==" saltValue="Flxu4Cu4mMkNxs672csPzg==" spinCount="100000" sheet="1" insertHyperlinks="0" selectLockedCells="1" sort="0" autoFilter="0" pivotTables="0"/>
  <mergeCells count="51">
    <mergeCell ref="A1:J1"/>
    <mergeCell ref="A2:J2"/>
    <mergeCell ref="A9:J9"/>
    <mergeCell ref="A14:J14"/>
    <mergeCell ref="A10:J13"/>
    <mergeCell ref="H3:J4"/>
    <mergeCell ref="H7:J7"/>
    <mergeCell ref="A7:D8"/>
    <mergeCell ref="E7:G8"/>
    <mergeCell ref="H8:J8"/>
    <mergeCell ref="A3:A6"/>
    <mergeCell ref="B3:G4"/>
    <mergeCell ref="B5:G6"/>
    <mergeCell ref="A31:J31"/>
    <mergeCell ref="A17:G17"/>
    <mergeCell ref="H17:J17"/>
    <mergeCell ref="A26:G26"/>
    <mergeCell ref="H26:J26"/>
    <mergeCell ref="A27:J27"/>
    <mergeCell ref="B28:J28"/>
    <mergeCell ref="A19:G19"/>
    <mergeCell ref="A20:G20"/>
    <mergeCell ref="A21:G21"/>
    <mergeCell ref="A22:G22"/>
    <mergeCell ref="A23:G23"/>
    <mergeCell ref="A24:G24"/>
    <mergeCell ref="A25:G25"/>
    <mergeCell ref="H23:J23"/>
    <mergeCell ref="H24:J24"/>
    <mergeCell ref="A15:G15"/>
    <mergeCell ref="H15:J15"/>
    <mergeCell ref="A16:G16"/>
    <mergeCell ref="H16:J16"/>
    <mergeCell ref="B43:E43"/>
    <mergeCell ref="F43:J43"/>
    <mergeCell ref="A32:J32"/>
    <mergeCell ref="E33:J33"/>
    <mergeCell ref="A34:J34"/>
    <mergeCell ref="C38:E38"/>
    <mergeCell ref="C39:E39"/>
    <mergeCell ref="G38:J38"/>
    <mergeCell ref="G39:J39"/>
    <mergeCell ref="A18:G18"/>
    <mergeCell ref="A29:J29"/>
    <mergeCell ref="A30:J30"/>
    <mergeCell ref="H25:J25"/>
    <mergeCell ref="H18:J18"/>
    <mergeCell ref="H19:J19"/>
    <mergeCell ref="H20:J20"/>
    <mergeCell ref="H21:J21"/>
    <mergeCell ref="H22:J22"/>
  </mergeCells>
  <pageMargins left="0.70866141732283472" right="0.70866141732283472" top="0.74803149606299213" bottom="0.74803149606299213" header="0.31496062992125984" footer="0.31496062992125984"/>
  <pageSetup paperSize="9" scale="60" fitToHeight="0" orientation="portrait" r:id="rId1"/>
  <headerFooter>
    <oddFooter>&amp;LSegún Resolución Rectoral 40631 del 26 de agosto de 2015&amp;RDJ-FO-009, Versión: 01</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A3:J41"/>
  <sheetViews>
    <sheetView showGridLines="0" workbookViewId="0">
      <selection activeCell="P17" sqref="P17"/>
    </sheetView>
  </sheetViews>
  <sheetFormatPr baseColWidth="10" defaultColWidth="11.42578125" defaultRowHeight="15" x14ac:dyDescent="0.25"/>
  <cols>
    <col min="1" max="7" width="15.7109375" style="1" customWidth="1"/>
    <col min="8" max="16384" width="11.42578125" style="1"/>
  </cols>
  <sheetData>
    <row r="3" spans="1:10" ht="18" customHeight="1" x14ac:dyDescent="0.3">
      <c r="A3" s="62"/>
      <c r="B3" s="126" t="s">
        <v>50</v>
      </c>
      <c r="C3" s="126"/>
      <c r="D3" s="126"/>
      <c r="E3" s="126"/>
      <c r="F3" s="126"/>
      <c r="G3" s="155"/>
      <c r="H3" s="61" t="s">
        <v>31</v>
      </c>
      <c r="I3" s="61"/>
      <c r="J3" s="61"/>
    </row>
    <row r="4" spans="1:10" ht="18" customHeight="1" x14ac:dyDescent="0.3">
      <c r="A4" s="62"/>
      <c r="B4" s="127" t="s">
        <v>51</v>
      </c>
      <c r="C4" s="127"/>
      <c r="D4" s="127"/>
      <c r="E4" s="127"/>
      <c r="F4" s="127"/>
      <c r="G4" s="156"/>
      <c r="H4" s="61"/>
      <c r="I4" s="61"/>
      <c r="J4" s="61"/>
    </row>
    <row r="5" spans="1:10" ht="18" customHeight="1" x14ac:dyDescent="0.3">
      <c r="A5" s="62"/>
      <c r="B5" s="157" t="s">
        <v>52</v>
      </c>
      <c r="C5" s="157"/>
      <c r="D5" s="157"/>
      <c r="E5" s="157"/>
      <c r="F5" s="157"/>
      <c r="G5" s="158"/>
      <c r="H5" s="14" t="s">
        <v>32</v>
      </c>
      <c r="I5" s="14" t="s">
        <v>33</v>
      </c>
      <c r="J5" s="14" t="s">
        <v>34</v>
      </c>
    </row>
    <row r="6" spans="1:10" ht="18" customHeight="1" x14ac:dyDescent="0.25">
      <c r="A6" s="62"/>
      <c r="B6" s="129" t="s">
        <v>53</v>
      </c>
      <c r="C6" s="129"/>
      <c r="D6" s="129"/>
      <c r="E6" s="129"/>
      <c r="F6" s="129"/>
      <c r="G6" s="152"/>
      <c r="H6" s="28"/>
      <c r="I6" s="28"/>
      <c r="J6" s="28"/>
    </row>
    <row r="7" spans="1:10" ht="26.1" customHeight="1" x14ac:dyDescent="0.25">
      <c r="A7" s="153" t="s">
        <v>54</v>
      </c>
      <c r="B7" s="153"/>
      <c r="C7" s="153"/>
      <c r="D7" s="153"/>
      <c r="E7" s="153"/>
      <c r="F7" s="153"/>
      <c r="G7" s="153"/>
      <c r="H7" s="153"/>
      <c r="I7" s="153"/>
      <c r="J7" s="153"/>
    </row>
    <row r="8" spans="1:10" ht="26.1" customHeight="1" x14ac:dyDescent="0.25">
      <c r="A8" s="153"/>
      <c r="B8" s="153"/>
      <c r="C8" s="153"/>
      <c r="D8" s="153"/>
      <c r="E8" s="153"/>
      <c r="F8" s="153"/>
      <c r="G8" s="153"/>
      <c r="H8" s="153"/>
      <c r="I8" s="153"/>
      <c r="J8" s="153"/>
    </row>
    <row r="9" spans="1:10" ht="26.1" customHeight="1" x14ac:dyDescent="0.25">
      <c r="A9" s="153"/>
      <c r="B9" s="153"/>
      <c r="C9" s="153"/>
      <c r="D9" s="153"/>
      <c r="E9" s="153"/>
      <c r="F9" s="153"/>
      <c r="G9" s="153"/>
      <c r="H9" s="153"/>
      <c r="I9" s="153"/>
      <c r="J9" s="153"/>
    </row>
    <row r="10" spans="1:10" ht="26.1" customHeight="1" x14ac:dyDescent="0.25">
      <c r="A10" s="97" t="s">
        <v>17</v>
      </c>
      <c r="B10" s="97"/>
      <c r="C10" s="97"/>
      <c r="D10" s="97"/>
      <c r="E10" s="97"/>
      <c r="F10" s="97"/>
      <c r="G10" s="97"/>
      <c r="H10" s="97"/>
      <c r="I10" s="97"/>
      <c r="J10" s="97"/>
    </row>
    <row r="11" spans="1:10" ht="30" customHeight="1" x14ac:dyDescent="0.25">
      <c r="A11" s="58" t="s">
        <v>77</v>
      </c>
      <c r="B11" s="59"/>
      <c r="C11" s="59"/>
      <c r="D11" s="59"/>
      <c r="E11" s="59"/>
      <c r="F11" s="59"/>
      <c r="G11" s="60"/>
      <c r="H11" s="58" t="s">
        <v>78</v>
      </c>
      <c r="I11" s="59"/>
      <c r="J11" s="60"/>
    </row>
    <row r="12" spans="1:10" ht="30" customHeight="1" x14ac:dyDescent="0.25">
      <c r="A12" s="101"/>
      <c r="B12" s="102"/>
      <c r="C12" s="102"/>
      <c r="D12" s="102"/>
      <c r="E12" s="102"/>
      <c r="F12" s="102"/>
      <c r="G12" s="103"/>
      <c r="H12" s="98"/>
      <c r="I12" s="99"/>
      <c r="J12" s="100"/>
    </row>
    <row r="13" spans="1:10" ht="30" customHeight="1" x14ac:dyDescent="0.25">
      <c r="A13" s="101"/>
      <c r="B13" s="102"/>
      <c r="C13" s="102"/>
      <c r="D13" s="102"/>
      <c r="E13" s="102"/>
      <c r="F13" s="102"/>
      <c r="G13" s="103"/>
      <c r="H13" s="98"/>
      <c r="I13" s="99"/>
      <c r="J13" s="100"/>
    </row>
    <row r="14" spans="1:10" ht="30" customHeight="1" x14ac:dyDescent="0.25">
      <c r="A14" s="101"/>
      <c r="B14" s="102"/>
      <c r="C14" s="102"/>
      <c r="D14" s="102"/>
      <c r="E14" s="102"/>
      <c r="F14" s="102"/>
      <c r="G14" s="103"/>
      <c r="H14" s="98"/>
      <c r="I14" s="99"/>
      <c r="J14" s="100"/>
    </row>
    <row r="15" spans="1:10" ht="30" customHeight="1" x14ac:dyDescent="0.25">
      <c r="A15" s="101"/>
      <c r="B15" s="102"/>
      <c r="C15" s="102"/>
      <c r="D15" s="102"/>
      <c r="E15" s="102"/>
      <c r="F15" s="102"/>
      <c r="G15" s="103"/>
      <c r="H15" s="98"/>
      <c r="I15" s="99"/>
      <c r="J15" s="100"/>
    </row>
    <row r="16" spans="1:10" ht="30" customHeight="1" x14ac:dyDescent="0.25">
      <c r="A16" s="101"/>
      <c r="B16" s="102"/>
      <c r="C16" s="102"/>
      <c r="D16" s="102"/>
      <c r="E16" s="102"/>
      <c r="F16" s="102"/>
      <c r="G16" s="103"/>
      <c r="H16" s="98"/>
      <c r="I16" s="99"/>
      <c r="J16" s="100"/>
    </row>
    <row r="17" spans="1:10" ht="30" customHeight="1" x14ac:dyDescent="0.25">
      <c r="A17" s="101"/>
      <c r="B17" s="102"/>
      <c r="C17" s="102"/>
      <c r="D17" s="102"/>
      <c r="E17" s="102"/>
      <c r="F17" s="102"/>
      <c r="G17" s="103"/>
      <c r="H17" s="98"/>
      <c r="I17" s="99"/>
      <c r="J17" s="100"/>
    </row>
    <row r="18" spans="1:10" ht="30" customHeight="1" x14ac:dyDescent="0.25">
      <c r="A18" s="101"/>
      <c r="B18" s="102"/>
      <c r="C18" s="102"/>
      <c r="D18" s="102"/>
      <c r="E18" s="102"/>
      <c r="F18" s="102"/>
      <c r="G18" s="103"/>
      <c r="H18" s="98"/>
      <c r="I18" s="99"/>
      <c r="J18" s="100"/>
    </row>
    <row r="19" spans="1:10" ht="30" customHeight="1" x14ac:dyDescent="0.25">
      <c r="A19" s="101"/>
      <c r="B19" s="102"/>
      <c r="C19" s="102"/>
      <c r="D19" s="102"/>
      <c r="E19" s="102"/>
      <c r="F19" s="102"/>
      <c r="G19" s="103"/>
      <c r="H19" s="98"/>
      <c r="I19" s="99"/>
      <c r="J19" s="100"/>
    </row>
    <row r="20" spans="1:10" ht="30" customHeight="1" x14ac:dyDescent="0.25">
      <c r="A20" s="101"/>
      <c r="B20" s="102"/>
      <c r="C20" s="102"/>
      <c r="D20" s="102"/>
      <c r="E20" s="102"/>
      <c r="F20" s="102"/>
      <c r="G20" s="103"/>
      <c r="H20" s="98"/>
      <c r="I20" s="99"/>
      <c r="J20" s="100"/>
    </row>
    <row r="21" spans="1:10" ht="30" customHeight="1" x14ac:dyDescent="0.25">
      <c r="A21" s="101"/>
      <c r="B21" s="102"/>
      <c r="C21" s="102"/>
      <c r="D21" s="102"/>
      <c r="E21" s="102"/>
      <c r="F21" s="102"/>
      <c r="G21" s="103"/>
      <c r="H21" s="98"/>
      <c r="I21" s="99"/>
      <c r="J21" s="100"/>
    </row>
    <row r="22" spans="1:10" ht="30" customHeight="1" x14ac:dyDescent="0.25">
      <c r="A22" s="101"/>
      <c r="B22" s="102"/>
      <c r="C22" s="102"/>
      <c r="D22" s="102"/>
      <c r="E22" s="102"/>
      <c r="F22" s="102"/>
      <c r="G22" s="103"/>
      <c r="H22" s="98"/>
      <c r="I22" s="99"/>
      <c r="J22" s="100"/>
    </row>
    <row r="23" spans="1:10" ht="26.1" customHeight="1" x14ac:dyDescent="0.25">
      <c r="A23" s="97" t="s">
        <v>55</v>
      </c>
      <c r="B23" s="97"/>
      <c r="C23" s="97"/>
      <c r="D23" s="97"/>
      <c r="E23" s="97"/>
      <c r="F23" s="97"/>
      <c r="G23" s="97"/>
      <c r="H23" s="97"/>
      <c r="I23" s="97"/>
      <c r="J23" s="97"/>
    </row>
    <row r="24" spans="1:10" ht="30" customHeight="1" x14ac:dyDescent="0.25">
      <c r="A24" s="26" t="s">
        <v>23</v>
      </c>
      <c r="B24" s="154" t="s">
        <v>21</v>
      </c>
      <c r="C24" s="154"/>
      <c r="D24" s="154"/>
      <c r="E24" s="61" t="s">
        <v>6</v>
      </c>
      <c r="F24" s="61"/>
      <c r="G24" s="61" t="s">
        <v>22</v>
      </c>
      <c r="H24" s="61"/>
      <c r="I24" s="96" t="s">
        <v>93</v>
      </c>
      <c r="J24" s="96"/>
    </row>
    <row r="25" spans="1:10" ht="26.1" customHeight="1" x14ac:dyDescent="0.25">
      <c r="A25" s="31">
        <v>1</v>
      </c>
      <c r="B25" s="159"/>
      <c r="C25" s="160"/>
      <c r="D25" s="161"/>
      <c r="E25" s="100"/>
      <c r="F25" s="74"/>
      <c r="G25" s="74"/>
      <c r="H25" s="74"/>
      <c r="I25" s="71"/>
      <c r="J25" s="71"/>
    </row>
    <row r="26" spans="1:10" ht="26.1" customHeight="1" x14ac:dyDescent="0.25">
      <c r="A26" s="24">
        <v>2</v>
      </c>
      <c r="B26" s="159"/>
      <c r="C26" s="160"/>
      <c r="D26" s="161"/>
      <c r="E26" s="74"/>
      <c r="F26" s="74"/>
      <c r="G26" s="74"/>
      <c r="H26" s="74"/>
      <c r="I26" s="71"/>
      <c r="J26" s="71"/>
    </row>
    <row r="27" spans="1:10" ht="26.1" customHeight="1" x14ac:dyDescent="0.25">
      <c r="A27" s="24">
        <v>3</v>
      </c>
      <c r="B27" s="159"/>
      <c r="C27" s="160"/>
      <c r="D27" s="161"/>
      <c r="E27" s="74"/>
      <c r="F27" s="74"/>
      <c r="G27" s="74"/>
      <c r="H27" s="74"/>
      <c r="I27" s="71"/>
      <c r="J27" s="71"/>
    </row>
    <row r="28" spans="1:10" ht="26.1" customHeight="1" x14ac:dyDescent="0.25">
      <c r="A28" s="24">
        <v>4</v>
      </c>
      <c r="B28" s="159"/>
      <c r="C28" s="160"/>
      <c r="D28" s="161"/>
      <c r="E28" s="74"/>
      <c r="F28" s="74"/>
      <c r="G28" s="74"/>
      <c r="H28" s="74"/>
      <c r="I28" s="71"/>
      <c r="J28" s="71"/>
    </row>
    <row r="29" spans="1:10" s="17" customFormat="1" ht="26.1" customHeight="1" x14ac:dyDescent="0.25">
      <c r="A29" s="63" t="s">
        <v>56</v>
      </c>
      <c r="B29" s="63"/>
      <c r="C29" s="63"/>
      <c r="D29" s="63"/>
      <c r="E29" s="162"/>
      <c r="F29" s="163"/>
      <c r="G29" s="67" t="s">
        <v>57</v>
      </c>
      <c r="H29" s="68"/>
      <c r="I29" s="69" t="str">
        <f>IF(E29="","",VLOOKUP(E29,B25:I28,8,FALSE))</f>
        <v/>
      </c>
      <c r="J29" s="69"/>
    </row>
    <row r="30" spans="1:10" s="17" customFormat="1" ht="26.1" customHeight="1" x14ac:dyDescent="0.25">
      <c r="A30" s="67" t="s">
        <v>328</v>
      </c>
      <c r="B30" s="68"/>
      <c r="C30" s="149"/>
      <c r="D30" s="150"/>
      <c r="E30" s="150"/>
      <c r="F30" s="150"/>
      <c r="G30" s="150"/>
      <c r="H30" s="150"/>
      <c r="I30" s="150"/>
      <c r="J30" s="151"/>
    </row>
    <row r="31" spans="1:10" s="17" customFormat="1" ht="26.1" customHeight="1" x14ac:dyDescent="0.25">
      <c r="A31" s="67" t="s">
        <v>329</v>
      </c>
      <c r="B31" s="68"/>
      <c r="C31" s="149"/>
      <c r="D31" s="150"/>
      <c r="E31" s="150"/>
      <c r="F31" s="150"/>
      <c r="G31" s="150"/>
      <c r="H31" s="150"/>
      <c r="I31" s="150"/>
      <c r="J31" s="151"/>
    </row>
    <row r="32" spans="1:10" s="17" customFormat="1" ht="26.1" customHeight="1" x14ac:dyDescent="0.25">
      <c r="A32" s="67" t="s">
        <v>330</v>
      </c>
      <c r="B32" s="68"/>
      <c r="C32" s="149"/>
      <c r="D32" s="150"/>
      <c r="E32" s="150"/>
      <c r="F32" s="150"/>
      <c r="G32" s="150"/>
      <c r="H32" s="150"/>
      <c r="I32" s="150"/>
      <c r="J32" s="151"/>
    </row>
    <row r="33" spans="1:10" s="17" customFormat="1" ht="26.1" customHeight="1" x14ac:dyDescent="0.25">
      <c r="A33" s="67" t="s">
        <v>331</v>
      </c>
      <c r="B33" s="68"/>
      <c r="C33" s="149"/>
      <c r="D33" s="150"/>
      <c r="E33" s="150"/>
      <c r="F33" s="150"/>
      <c r="G33" s="150"/>
      <c r="H33" s="150"/>
      <c r="I33" s="150"/>
      <c r="J33" s="151"/>
    </row>
    <row r="34" spans="1:10" ht="26.1" customHeight="1" x14ac:dyDescent="0.25">
      <c r="A34" s="97" t="s">
        <v>25</v>
      </c>
      <c r="B34" s="97"/>
      <c r="C34" s="97"/>
      <c r="D34" s="97"/>
      <c r="E34" s="97"/>
      <c r="F34" s="97"/>
      <c r="G34" s="97"/>
      <c r="H34" s="97"/>
      <c r="I34" s="97"/>
      <c r="J34" s="97"/>
    </row>
    <row r="35" spans="1:10" ht="26.1" customHeight="1" x14ac:dyDescent="0.25">
      <c r="A35" s="139"/>
      <c r="B35" s="140"/>
      <c r="C35" s="140"/>
      <c r="D35" s="140"/>
      <c r="E35" s="140"/>
      <c r="F35" s="140"/>
      <c r="G35" s="140"/>
      <c r="H35" s="140"/>
      <c r="I35" s="140"/>
      <c r="J35" s="141"/>
    </row>
    <row r="36" spans="1:10" ht="26.1" customHeight="1" x14ac:dyDescent="0.25">
      <c r="A36" s="142"/>
      <c r="B36" s="143"/>
      <c r="C36" s="143"/>
      <c r="D36" s="143"/>
      <c r="E36" s="143"/>
      <c r="F36" s="143"/>
      <c r="G36" s="143"/>
      <c r="H36" s="143"/>
      <c r="I36" s="143"/>
      <c r="J36" s="144"/>
    </row>
    <row r="37" spans="1:10" ht="26.1" customHeight="1" x14ac:dyDescent="0.25">
      <c r="A37" s="145"/>
      <c r="B37" s="146"/>
      <c r="C37" s="146"/>
      <c r="D37" s="146"/>
      <c r="E37" s="146"/>
      <c r="F37" s="146"/>
      <c r="G37" s="146"/>
      <c r="H37" s="146"/>
      <c r="I37" s="146"/>
      <c r="J37" s="147"/>
    </row>
    <row r="38" spans="1:10" s="2" customFormat="1" ht="26.1" customHeight="1" x14ac:dyDescent="0.25">
      <c r="A38" s="63" t="s">
        <v>58</v>
      </c>
      <c r="B38" s="63"/>
      <c r="C38" s="124"/>
      <c r="D38" s="124"/>
      <c r="E38" s="148" t="s">
        <v>59</v>
      </c>
      <c r="F38" s="148"/>
      <c r="G38" s="136"/>
      <c r="H38" s="137"/>
      <c r="I38" s="137"/>
      <c r="J38" s="138"/>
    </row>
    <row r="39" spans="1:10" s="2" customFormat="1" ht="26.1" customHeight="1" x14ac:dyDescent="0.25">
      <c r="A39" s="63" t="s">
        <v>60</v>
      </c>
      <c r="B39" s="63"/>
      <c r="C39" s="125"/>
      <c r="D39" s="125"/>
      <c r="E39" s="63" t="s">
        <v>61</v>
      </c>
      <c r="F39" s="63"/>
      <c r="G39" s="125"/>
      <c r="H39" s="125"/>
      <c r="I39" s="125"/>
      <c r="J39" s="125"/>
    </row>
    <row r="40" spans="1:10" s="2" customFormat="1" ht="26.1" customHeight="1" x14ac:dyDescent="0.25">
      <c r="A40" s="130"/>
      <c r="B40" s="131"/>
      <c r="C40" s="131"/>
      <c r="D40" s="131"/>
      <c r="E40" s="131"/>
      <c r="F40" s="131"/>
      <c r="G40" s="131"/>
      <c r="H40" s="131"/>
      <c r="I40" s="131"/>
      <c r="J40" s="132"/>
    </row>
    <row r="41" spans="1:10" s="2" customFormat="1" ht="26.1" customHeight="1" x14ac:dyDescent="0.25">
      <c r="A41" s="133"/>
      <c r="B41" s="134"/>
      <c r="C41" s="134"/>
      <c r="D41" s="134"/>
      <c r="E41" s="134"/>
      <c r="F41" s="134"/>
      <c r="G41" s="134"/>
      <c r="H41" s="134"/>
      <c r="I41" s="134"/>
      <c r="J41" s="135"/>
    </row>
  </sheetData>
  <sheetProtection algorithmName="SHA-512" hashValue="GcCVcA0y5LzhjTCs4EYj7DTOukLu1eJ/LvQ3ewR46LDysgyhPJkzx0q9rUb7nZ+af57Vww5SsDABKqnTduvb2Q==" saltValue="DXWEnZ5nRxrhoRuj7XVvrw==" spinCount="100000" sheet="1" insertHyperlinks="0" selectLockedCells="1" sort="0" autoFilter="0" pivotTables="0"/>
  <mergeCells count="76">
    <mergeCell ref="A32:B32"/>
    <mergeCell ref="C32:J32"/>
    <mergeCell ref="A33:B33"/>
    <mergeCell ref="C33:J33"/>
    <mergeCell ref="B25:D25"/>
    <mergeCell ref="B26:D26"/>
    <mergeCell ref="B27:D27"/>
    <mergeCell ref="B28:D28"/>
    <mergeCell ref="E27:F27"/>
    <mergeCell ref="G27:H27"/>
    <mergeCell ref="I27:J27"/>
    <mergeCell ref="E28:F28"/>
    <mergeCell ref="G28:H28"/>
    <mergeCell ref="I28:J28"/>
    <mergeCell ref="E29:F29"/>
    <mergeCell ref="G29:H29"/>
    <mergeCell ref="A3:A6"/>
    <mergeCell ref="A7:J9"/>
    <mergeCell ref="A10:J10"/>
    <mergeCell ref="A23:J23"/>
    <mergeCell ref="B24:D24"/>
    <mergeCell ref="E24:F24"/>
    <mergeCell ref="G24:H24"/>
    <mergeCell ref="I24:J24"/>
    <mergeCell ref="A11:G11"/>
    <mergeCell ref="H11:J11"/>
    <mergeCell ref="A12:G12"/>
    <mergeCell ref="H12:J12"/>
    <mergeCell ref="H3:J4"/>
    <mergeCell ref="B3:G3"/>
    <mergeCell ref="B4:G4"/>
    <mergeCell ref="B5:G5"/>
    <mergeCell ref="B6:G6"/>
    <mergeCell ref="A13:G13"/>
    <mergeCell ref="H13:J13"/>
    <mergeCell ref="A22:G22"/>
    <mergeCell ref="H22:J22"/>
    <mergeCell ref="A14:G14"/>
    <mergeCell ref="A20:G20"/>
    <mergeCell ref="A21:G21"/>
    <mergeCell ref="H14:J14"/>
    <mergeCell ref="H15:J15"/>
    <mergeCell ref="H16:J16"/>
    <mergeCell ref="H17:J17"/>
    <mergeCell ref="H18:J18"/>
    <mergeCell ref="H19:J19"/>
    <mergeCell ref="H20:J20"/>
    <mergeCell ref="H21:J21"/>
    <mergeCell ref="A15:G15"/>
    <mergeCell ref="E25:F25"/>
    <mergeCell ref="G25:H25"/>
    <mergeCell ref="I25:J25"/>
    <mergeCell ref="E26:F26"/>
    <mergeCell ref="G26:H26"/>
    <mergeCell ref="I26:J26"/>
    <mergeCell ref="A16:G16"/>
    <mergeCell ref="A17:G17"/>
    <mergeCell ref="A18:G18"/>
    <mergeCell ref="A19:G19"/>
    <mergeCell ref="I29:J29"/>
    <mergeCell ref="A30:B30"/>
    <mergeCell ref="C30:J30"/>
    <mergeCell ref="A31:B31"/>
    <mergeCell ref="C31:J31"/>
    <mergeCell ref="A29:D29"/>
    <mergeCell ref="A40:J41"/>
    <mergeCell ref="G38:J38"/>
    <mergeCell ref="A34:J34"/>
    <mergeCell ref="A35:J37"/>
    <mergeCell ref="A38:B38"/>
    <mergeCell ref="A39:B39"/>
    <mergeCell ref="C38:D38"/>
    <mergeCell ref="E38:F38"/>
    <mergeCell ref="C39:D39"/>
    <mergeCell ref="E39:F39"/>
    <mergeCell ref="G39:J39"/>
  </mergeCells>
  <dataValidations count="1">
    <dataValidation type="list" allowBlank="1" showInputMessage="1" showErrorMessage="1" sqref="E29:F29">
      <formula1>$B$25:$B$28</formula1>
    </dataValidation>
  </dataValidations>
  <pageMargins left="0.70866141732283472" right="0.70866141732283472" top="0.74803149606299213" bottom="0.74803149606299213" header="0.31496062992125984" footer="0.31496062992125984"/>
  <pageSetup paperSize="9" scale="60" fitToHeight="0" orientation="portrait" r:id="rId1"/>
  <headerFooter>
    <oddFooter>&amp;RCódigo: F-GC-68, Versión 01, Aprobado: 2013-07-23</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Parámetros!$G$2:$G$7</xm:f>
          </x14:formula1>
          <xm:sqref>C30:J33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I748"/>
  <sheetViews>
    <sheetView topLeftCell="A157" workbookViewId="0">
      <selection activeCell="C180" sqref="C180"/>
    </sheetView>
  </sheetViews>
  <sheetFormatPr baseColWidth="10" defaultColWidth="11.42578125" defaultRowHeight="15" x14ac:dyDescent="0.25"/>
  <cols>
    <col min="1" max="1" width="28.5703125" style="40" bestFit="1" customWidth="1"/>
    <col min="2" max="2" width="44.7109375" style="40" bestFit="1" customWidth="1"/>
    <col min="3" max="3" width="102.42578125" style="40" customWidth="1"/>
    <col min="4" max="4" width="19.42578125" style="39" bestFit="1" customWidth="1"/>
    <col min="5" max="5" width="16.42578125" style="39" bestFit="1" customWidth="1"/>
    <col min="6" max="6" width="73.140625" style="40" bestFit="1" customWidth="1"/>
    <col min="7" max="7" width="23.85546875" style="29" customWidth="1"/>
    <col min="8" max="8" width="30.85546875" style="29" bestFit="1" customWidth="1"/>
    <col min="9" max="9" width="11.140625" style="41" bestFit="1" customWidth="1"/>
    <col min="10" max="16384" width="11.42578125" style="29"/>
  </cols>
  <sheetData>
    <row r="1" spans="1:9" x14ac:dyDescent="0.25">
      <c r="A1" s="18" t="s">
        <v>7</v>
      </c>
      <c r="B1" s="18" t="s">
        <v>352</v>
      </c>
      <c r="C1" s="47" t="s">
        <v>353</v>
      </c>
      <c r="D1" s="18" t="s">
        <v>75</v>
      </c>
      <c r="E1" s="18" t="s">
        <v>16</v>
      </c>
      <c r="F1" s="18" t="s">
        <v>79</v>
      </c>
      <c r="G1" s="18" t="s">
        <v>324</v>
      </c>
      <c r="H1" s="18" t="s">
        <v>383</v>
      </c>
      <c r="I1" s="18" t="s">
        <v>384</v>
      </c>
    </row>
    <row r="2" spans="1:9" ht="36" x14ac:dyDescent="0.25">
      <c r="A2" s="37" t="s">
        <v>334</v>
      </c>
      <c r="B2" s="37" t="s">
        <v>334</v>
      </c>
      <c r="C2" s="46" t="s">
        <v>649</v>
      </c>
      <c r="D2" s="39" t="s">
        <v>650</v>
      </c>
      <c r="E2" s="39">
        <v>10410023</v>
      </c>
      <c r="F2" s="40" t="s">
        <v>303</v>
      </c>
      <c r="G2" s="37" t="s">
        <v>325</v>
      </c>
      <c r="H2" s="42" t="s">
        <v>385</v>
      </c>
      <c r="I2" s="43">
        <v>43502638</v>
      </c>
    </row>
    <row r="3" spans="1:9" ht="24" x14ac:dyDescent="0.25">
      <c r="A3" s="37" t="s">
        <v>359</v>
      </c>
      <c r="B3" s="37" t="s">
        <v>359</v>
      </c>
      <c r="C3" s="46" t="s">
        <v>778</v>
      </c>
      <c r="D3" s="39" t="s">
        <v>779</v>
      </c>
      <c r="E3" s="39">
        <v>20230009</v>
      </c>
      <c r="F3" s="40" t="s">
        <v>304</v>
      </c>
      <c r="G3" s="40" t="s">
        <v>327</v>
      </c>
      <c r="H3" s="42" t="s">
        <v>386</v>
      </c>
      <c r="I3" s="43">
        <v>43651295</v>
      </c>
    </row>
    <row r="4" spans="1:9" ht="24" x14ac:dyDescent="0.25">
      <c r="A4" s="37" t="s">
        <v>360</v>
      </c>
      <c r="B4" s="37" t="s">
        <v>359</v>
      </c>
      <c r="C4" s="46" t="s">
        <v>856</v>
      </c>
      <c r="D4" s="39" t="s">
        <v>857</v>
      </c>
      <c r="E4" s="39">
        <v>20230009</v>
      </c>
      <c r="F4" s="40" t="s">
        <v>863</v>
      </c>
      <c r="G4" s="40" t="s">
        <v>326</v>
      </c>
      <c r="H4" s="42" t="s">
        <v>387</v>
      </c>
      <c r="I4" s="43">
        <v>42897640</v>
      </c>
    </row>
    <row r="5" spans="1:9" x14ac:dyDescent="0.25">
      <c r="A5" s="37" t="s">
        <v>335</v>
      </c>
      <c r="B5" s="37" t="s">
        <v>359</v>
      </c>
      <c r="C5" s="40" t="s">
        <v>884</v>
      </c>
      <c r="D5" s="39" t="s">
        <v>885</v>
      </c>
      <c r="E5" s="39">
        <v>20230009</v>
      </c>
      <c r="F5" s="40" t="s">
        <v>85</v>
      </c>
      <c r="H5" s="42" t="s">
        <v>388</v>
      </c>
      <c r="I5" s="43">
        <v>70084346</v>
      </c>
    </row>
    <row r="6" spans="1:9" x14ac:dyDescent="0.25">
      <c r="A6" s="37" t="s">
        <v>336</v>
      </c>
      <c r="B6" s="37" t="s">
        <v>336</v>
      </c>
      <c r="C6" s="46" t="s">
        <v>204</v>
      </c>
      <c r="D6" s="39" t="s">
        <v>94</v>
      </c>
      <c r="E6" s="39">
        <v>20230009</v>
      </c>
      <c r="F6" s="40" t="s">
        <v>84</v>
      </c>
      <c r="H6" s="42" t="s">
        <v>389</v>
      </c>
      <c r="I6" s="45" t="s">
        <v>601</v>
      </c>
    </row>
    <row r="7" spans="1:9" ht="24" x14ac:dyDescent="0.25">
      <c r="A7" s="37" t="s">
        <v>337</v>
      </c>
      <c r="B7" s="37" t="s">
        <v>336</v>
      </c>
      <c r="C7" s="46" t="s">
        <v>205</v>
      </c>
      <c r="D7" s="38" t="s">
        <v>95</v>
      </c>
      <c r="E7" s="39">
        <v>20230009</v>
      </c>
      <c r="F7" s="40" t="s">
        <v>865</v>
      </c>
      <c r="H7" s="42" t="s">
        <v>390</v>
      </c>
      <c r="I7" s="43">
        <v>71612027</v>
      </c>
    </row>
    <row r="8" spans="1:9" x14ac:dyDescent="0.25">
      <c r="A8" s="37" t="s">
        <v>354</v>
      </c>
      <c r="B8" s="37" t="s">
        <v>336</v>
      </c>
      <c r="C8" s="46" t="s">
        <v>823</v>
      </c>
      <c r="D8" s="38" t="s">
        <v>651</v>
      </c>
      <c r="E8" s="39">
        <v>10410023</v>
      </c>
      <c r="F8" s="40" t="s">
        <v>308</v>
      </c>
      <c r="H8" s="42" t="s">
        <v>391</v>
      </c>
      <c r="I8" s="43">
        <v>3396537</v>
      </c>
    </row>
    <row r="9" spans="1:9" ht="24" x14ac:dyDescent="0.25">
      <c r="A9" s="37" t="s">
        <v>361</v>
      </c>
      <c r="B9" s="37" t="s">
        <v>336</v>
      </c>
      <c r="C9" s="46" t="s">
        <v>206</v>
      </c>
      <c r="D9" s="38" t="s">
        <v>96</v>
      </c>
      <c r="E9" s="39">
        <v>20230009</v>
      </c>
      <c r="F9" s="40" t="s">
        <v>305</v>
      </c>
      <c r="H9" s="42" t="s">
        <v>392</v>
      </c>
      <c r="I9" s="43">
        <v>71337736</v>
      </c>
    </row>
    <row r="10" spans="1:9" ht="24" x14ac:dyDescent="0.25">
      <c r="A10" s="37" t="s">
        <v>14</v>
      </c>
      <c r="B10" s="37" t="s">
        <v>336</v>
      </c>
      <c r="C10" s="46" t="s">
        <v>780</v>
      </c>
      <c r="D10" s="38" t="s">
        <v>781</v>
      </c>
      <c r="E10" s="39">
        <v>10410023</v>
      </c>
      <c r="F10" s="40" t="s">
        <v>306</v>
      </c>
      <c r="H10" s="42" t="s">
        <v>393</v>
      </c>
      <c r="I10" s="43">
        <v>71752561</v>
      </c>
    </row>
    <row r="11" spans="1:9" x14ac:dyDescent="0.25">
      <c r="A11" s="37" t="s">
        <v>338</v>
      </c>
      <c r="B11" s="37" t="s">
        <v>336</v>
      </c>
      <c r="C11" s="46" t="s">
        <v>824</v>
      </c>
      <c r="D11" s="38" t="s">
        <v>652</v>
      </c>
      <c r="E11" s="39">
        <v>10410023</v>
      </c>
      <c r="F11" s="40" t="s">
        <v>307</v>
      </c>
      <c r="H11" s="42" t="s">
        <v>394</v>
      </c>
      <c r="I11" s="43">
        <v>15349797</v>
      </c>
    </row>
    <row r="12" spans="1:9" ht="24" x14ac:dyDescent="0.25">
      <c r="A12" s="37" t="s">
        <v>339</v>
      </c>
      <c r="B12" s="37" t="s">
        <v>354</v>
      </c>
      <c r="C12" s="46" t="s">
        <v>207</v>
      </c>
      <c r="D12" s="38" t="s">
        <v>97</v>
      </c>
      <c r="E12" s="39">
        <v>20230009</v>
      </c>
      <c r="F12" s="40" t="s">
        <v>864</v>
      </c>
      <c r="H12" s="42" t="s">
        <v>395</v>
      </c>
      <c r="I12" s="43">
        <v>43522706</v>
      </c>
    </row>
    <row r="13" spans="1:9" x14ac:dyDescent="0.25">
      <c r="A13" s="37" t="s">
        <v>355</v>
      </c>
      <c r="B13" s="37" t="s">
        <v>354</v>
      </c>
      <c r="C13" s="46" t="s">
        <v>208</v>
      </c>
      <c r="D13" s="38" t="s">
        <v>98</v>
      </c>
      <c r="E13" s="39">
        <v>20230009</v>
      </c>
      <c r="F13" s="40" t="s">
        <v>862</v>
      </c>
      <c r="H13" s="42" t="s">
        <v>396</v>
      </c>
      <c r="I13" s="43">
        <v>8287418</v>
      </c>
    </row>
    <row r="14" spans="1:9" x14ac:dyDescent="0.25">
      <c r="A14" s="37" t="s">
        <v>340</v>
      </c>
      <c r="B14" s="37" t="s">
        <v>354</v>
      </c>
      <c r="C14" s="46" t="s">
        <v>825</v>
      </c>
      <c r="D14" s="38" t="s">
        <v>653</v>
      </c>
      <c r="E14" s="39">
        <v>10410023</v>
      </c>
      <c r="F14" s="40" t="s">
        <v>311</v>
      </c>
      <c r="H14" s="42" t="s">
        <v>397</v>
      </c>
      <c r="I14" s="43">
        <v>42887817</v>
      </c>
    </row>
    <row r="15" spans="1:9" x14ac:dyDescent="0.25">
      <c r="A15" s="37" t="s">
        <v>341</v>
      </c>
      <c r="B15" s="37" t="s">
        <v>354</v>
      </c>
      <c r="C15" s="46" t="s">
        <v>722</v>
      </c>
      <c r="D15" s="38" t="s">
        <v>99</v>
      </c>
      <c r="E15" s="39">
        <v>20230009</v>
      </c>
      <c r="F15" s="40" t="s">
        <v>310</v>
      </c>
      <c r="H15" s="42" t="s">
        <v>398</v>
      </c>
      <c r="I15" s="43">
        <v>42883734</v>
      </c>
    </row>
    <row r="16" spans="1:9" ht="24" x14ac:dyDescent="0.25">
      <c r="A16" s="37" t="s">
        <v>356</v>
      </c>
      <c r="B16" s="37" t="s">
        <v>354</v>
      </c>
      <c r="C16" s="46" t="s">
        <v>209</v>
      </c>
      <c r="D16" s="38" t="s">
        <v>100</v>
      </c>
      <c r="E16" s="39">
        <v>20230009</v>
      </c>
      <c r="F16" s="40" t="s">
        <v>312</v>
      </c>
      <c r="H16" s="42" t="s">
        <v>399</v>
      </c>
      <c r="I16" s="43">
        <v>43621952</v>
      </c>
    </row>
    <row r="17" spans="1:9" ht="24" x14ac:dyDescent="0.25">
      <c r="A17" s="37" t="s">
        <v>357</v>
      </c>
      <c r="B17" s="37" t="s">
        <v>354</v>
      </c>
      <c r="C17" s="46" t="s">
        <v>826</v>
      </c>
      <c r="D17" s="38" t="s">
        <v>654</v>
      </c>
      <c r="E17" s="39">
        <v>10410023</v>
      </c>
      <c r="F17" s="40" t="s">
        <v>313</v>
      </c>
      <c r="H17" s="42" t="s">
        <v>400</v>
      </c>
      <c r="I17" s="43">
        <v>43025797</v>
      </c>
    </row>
    <row r="18" spans="1:9" ht="24" x14ac:dyDescent="0.25">
      <c r="A18" s="37" t="s">
        <v>358</v>
      </c>
      <c r="B18" s="37" t="s">
        <v>354</v>
      </c>
      <c r="C18" s="46" t="s">
        <v>655</v>
      </c>
      <c r="D18" s="38" t="s">
        <v>656</v>
      </c>
      <c r="E18" s="39">
        <v>10410023</v>
      </c>
      <c r="F18" s="40" t="s">
        <v>314</v>
      </c>
      <c r="H18" s="42" t="s">
        <v>401</v>
      </c>
      <c r="I18" s="43">
        <v>43189871</v>
      </c>
    </row>
    <row r="19" spans="1:9" ht="24" x14ac:dyDescent="0.25">
      <c r="A19" s="37" t="s">
        <v>8</v>
      </c>
      <c r="B19" s="37" t="s">
        <v>361</v>
      </c>
      <c r="C19" s="46" t="s">
        <v>782</v>
      </c>
      <c r="D19" s="38" t="s">
        <v>783</v>
      </c>
      <c r="E19" s="39">
        <v>20230009</v>
      </c>
      <c r="F19" s="40" t="s">
        <v>309</v>
      </c>
      <c r="H19" s="42" t="s">
        <v>402</v>
      </c>
      <c r="I19" s="43">
        <v>71603452</v>
      </c>
    </row>
    <row r="20" spans="1:9" x14ac:dyDescent="0.25">
      <c r="A20" s="37" t="s">
        <v>362</v>
      </c>
      <c r="B20" s="37" t="s">
        <v>361</v>
      </c>
      <c r="C20" s="46" t="s">
        <v>701</v>
      </c>
      <c r="D20" s="38" t="s">
        <v>702</v>
      </c>
      <c r="E20" s="39">
        <v>20230021</v>
      </c>
      <c r="F20" s="40" t="s">
        <v>866</v>
      </c>
      <c r="H20" s="42" t="s">
        <v>403</v>
      </c>
      <c r="I20" s="43">
        <v>71739737</v>
      </c>
    </row>
    <row r="21" spans="1:9" ht="24" x14ac:dyDescent="0.25">
      <c r="A21" s="37" t="s">
        <v>363</v>
      </c>
      <c r="B21" s="37" t="s">
        <v>14</v>
      </c>
      <c r="C21" s="46" t="s">
        <v>723</v>
      </c>
      <c r="D21" s="38" t="s">
        <v>724</v>
      </c>
      <c r="E21" s="39">
        <v>20230009</v>
      </c>
      <c r="F21" s="40" t="s">
        <v>82</v>
      </c>
      <c r="H21" s="42" t="s">
        <v>404</v>
      </c>
      <c r="I21" s="43">
        <v>98671608</v>
      </c>
    </row>
    <row r="22" spans="1:9" ht="24" x14ac:dyDescent="0.25">
      <c r="A22" s="37" t="s">
        <v>364</v>
      </c>
      <c r="B22" s="37" t="s">
        <v>14</v>
      </c>
      <c r="C22" s="46" t="s">
        <v>725</v>
      </c>
      <c r="D22" s="38" t="s">
        <v>726</v>
      </c>
      <c r="E22" s="39">
        <v>20230009</v>
      </c>
      <c r="F22" s="40" t="s">
        <v>80</v>
      </c>
      <c r="H22" s="42" t="s">
        <v>405</v>
      </c>
      <c r="I22" s="43">
        <v>42871672</v>
      </c>
    </row>
    <row r="23" spans="1:9" x14ac:dyDescent="0.25">
      <c r="A23" s="37" t="s">
        <v>365</v>
      </c>
      <c r="B23" s="37" t="s">
        <v>14</v>
      </c>
      <c r="C23" s="46" t="s">
        <v>727</v>
      </c>
      <c r="D23" s="38" t="s">
        <v>728</v>
      </c>
      <c r="E23" s="39">
        <v>20230009</v>
      </c>
      <c r="F23" s="40" t="s">
        <v>81</v>
      </c>
      <c r="H23" s="42" t="s">
        <v>406</v>
      </c>
      <c r="I23" s="43">
        <v>71991542</v>
      </c>
    </row>
    <row r="24" spans="1:9" ht="24" x14ac:dyDescent="0.25">
      <c r="A24" s="37" t="s">
        <v>342</v>
      </c>
      <c r="B24" s="37" t="s">
        <v>14</v>
      </c>
      <c r="C24" s="46" t="s">
        <v>729</v>
      </c>
      <c r="D24" s="38" t="s">
        <v>730</v>
      </c>
      <c r="E24" s="39">
        <v>20230009</v>
      </c>
      <c r="F24" s="40" t="s">
        <v>83</v>
      </c>
      <c r="H24" s="42" t="s">
        <v>407</v>
      </c>
      <c r="I24" s="43">
        <v>43062616</v>
      </c>
    </row>
    <row r="25" spans="1:9" x14ac:dyDescent="0.25">
      <c r="A25" s="37" t="s">
        <v>9</v>
      </c>
      <c r="B25" s="37" t="s">
        <v>14</v>
      </c>
      <c r="C25" s="46" t="s">
        <v>731</v>
      </c>
      <c r="D25" s="38" t="s">
        <v>732</v>
      </c>
      <c r="E25" s="39">
        <v>20230009</v>
      </c>
      <c r="F25" s="40" t="s">
        <v>861</v>
      </c>
      <c r="H25" s="42" t="s">
        <v>408</v>
      </c>
      <c r="I25" s="43">
        <v>34529960</v>
      </c>
    </row>
    <row r="26" spans="1:9" x14ac:dyDescent="0.25">
      <c r="A26" s="37" t="s">
        <v>343</v>
      </c>
      <c r="B26" s="37" t="s">
        <v>14</v>
      </c>
      <c r="C26" s="46" t="s">
        <v>733</v>
      </c>
      <c r="D26" s="38" t="s">
        <v>734</v>
      </c>
      <c r="E26" s="39">
        <v>20230015</v>
      </c>
      <c r="F26" s="40" t="s">
        <v>302</v>
      </c>
      <c r="H26" s="42" t="s">
        <v>409</v>
      </c>
      <c r="I26" s="43">
        <v>42999723</v>
      </c>
    </row>
    <row r="27" spans="1:9" ht="24" x14ac:dyDescent="0.25">
      <c r="A27" s="37" t="s">
        <v>366</v>
      </c>
      <c r="B27" s="37" t="s">
        <v>14</v>
      </c>
      <c r="C27" s="46" t="s">
        <v>735</v>
      </c>
      <c r="D27" s="38" t="s">
        <v>736</v>
      </c>
      <c r="E27" s="39">
        <v>20230015</v>
      </c>
      <c r="F27" s="40" t="s">
        <v>301</v>
      </c>
      <c r="H27" s="42" t="s">
        <v>410</v>
      </c>
      <c r="I27" s="43">
        <v>32429021</v>
      </c>
    </row>
    <row r="28" spans="1:9" ht="24" x14ac:dyDescent="0.25">
      <c r="A28" s="37" t="s">
        <v>367</v>
      </c>
      <c r="B28" s="37" t="s">
        <v>14</v>
      </c>
      <c r="C28" s="46" t="s">
        <v>737</v>
      </c>
      <c r="D28" s="38" t="s">
        <v>738</v>
      </c>
      <c r="E28" s="39">
        <v>20230015</v>
      </c>
      <c r="F28" s="40" t="s">
        <v>321</v>
      </c>
      <c r="H28" s="42" t="s">
        <v>411</v>
      </c>
      <c r="I28" s="43" t="s">
        <v>412</v>
      </c>
    </row>
    <row r="29" spans="1:9" ht="24" x14ac:dyDescent="0.25">
      <c r="A29" s="37" t="s">
        <v>382</v>
      </c>
      <c r="B29" s="37" t="s">
        <v>14</v>
      </c>
      <c r="C29" s="46" t="s">
        <v>739</v>
      </c>
      <c r="D29" s="38" t="s">
        <v>740</v>
      </c>
      <c r="E29" s="39">
        <v>20230015</v>
      </c>
      <c r="F29" s="40" t="s">
        <v>315</v>
      </c>
      <c r="H29" s="42" t="s">
        <v>413</v>
      </c>
      <c r="I29" s="43">
        <v>79262441</v>
      </c>
    </row>
    <row r="30" spans="1:9" x14ac:dyDescent="0.25">
      <c r="A30" s="37" t="s">
        <v>10</v>
      </c>
      <c r="B30" s="37" t="s">
        <v>339</v>
      </c>
      <c r="C30" s="46" t="s">
        <v>827</v>
      </c>
      <c r="D30" s="38" t="s">
        <v>657</v>
      </c>
      <c r="E30" s="39">
        <v>10410023</v>
      </c>
      <c r="F30" s="40" t="s">
        <v>317</v>
      </c>
      <c r="H30" s="42" t="s">
        <v>414</v>
      </c>
      <c r="I30" s="43">
        <v>70565696</v>
      </c>
    </row>
    <row r="31" spans="1:9" ht="24" x14ac:dyDescent="0.25">
      <c r="A31" s="37" t="s">
        <v>344</v>
      </c>
      <c r="B31" s="37" t="s">
        <v>339</v>
      </c>
      <c r="C31" s="46" t="s">
        <v>210</v>
      </c>
      <c r="D31" s="38" t="s">
        <v>101</v>
      </c>
      <c r="E31" s="39">
        <v>20230009</v>
      </c>
      <c r="F31" s="40" t="s">
        <v>322</v>
      </c>
      <c r="H31" s="42" t="s">
        <v>415</v>
      </c>
      <c r="I31" s="43">
        <v>71955597</v>
      </c>
    </row>
    <row r="32" spans="1:9" ht="24" x14ac:dyDescent="0.25">
      <c r="A32" s="37" t="s">
        <v>345</v>
      </c>
      <c r="B32" s="37" t="s">
        <v>339</v>
      </c>
      <c r="C32" s="46" t="s">
        <v>211</v>
      </c>
      <c r="D32" s="38" t="s">
        <v>102</v>
      </c>
      <c r="E32" s="39">
        <v>20230009</v>
      </c>
      <c r="F32" s="40" t="s">
        <v>316</v>
      </c>
      <c r="H32" s="42" t="s">
        <v>416</v>
      </c>
      <c r="I32" s="43">
        <v>73099259</v>
      </c>
    </row>
    <row r="33" spans="1:9" x14ac:dyDescent="0.25">
      <c r="A33" s="37" t="s">
        <v>620</v>
      </c>
      <c r="B33" s="37" t="s">
        <v>339</v>
      </c>
      <c r="C33" s="46" t="s">
        <v>212</v>
      </c>
      <c r="D33" s="38" t="s">
        <v>103</v>
      </c>
      <c r="E33" s="39">
        <v>20230009</v>
      </c>
      <c r="F33" s="40" t="s">
        <v>318</v>
      </c>
      <c r="H33" s="42" t="s">
        <v>417</v>
      </c>
      <c r="I33" s="43">
        <v>71596451</v>
      </c>
    </row>
    <row r="34" spans="1:9" ht="24" x14ac:dyDescent="0.25">
      <c r="A34" s="37" t="s">
        <v>346</v>
      </c>
      <c r="B34" s="37" t="s">
        <v>339</v>
      </c>
      <c r="C34" s="46" t="s">
        <v>213</v>
      </c>
      <c r="D34" s="38" t="s">
        <v>104</v>
      </c>
      <c r="E34" s="39">
        <v>20230009</v>
      </c>
      <c r="F34" s="40" t="s">
        <v>320</v>
      </c>
      <c r="H34" s="42" t="s">
        <v>418</v>
      </c>
      <c r="I34" s="43">
        <v>51802180</v>
      </c>
    </row>
    <row r="35" spans="1:9" ht="24" x14ac:dyDescent="0.25">
      <c r="A35" s="37" t="s">
        <v>368</v>
      </c>
      <c r="B35" s="37" t="s">
        <v>339</v>
      </c>
      <c r="C35" s="46" t="s">
        <v>214</v>
      </c>
      <c r="D35" s="38" t="s">
        <v>105</v>
      </c>
      <c r="E35" s="39">
        <v>20230009</v>
      </c>
      <c r="F35" s="40" t="s">
        <v>319</v>
      </c>
      <c r="H35" s="42" t="s">
        <v>419</v>
      </c>
      <c r="I35" s="43">
        <v>42072392</v>
      </c>
    </row>
    <row r="36" spans="1:9" ht="24" x14ac:dyDescent="0.25">
      <c r="A36" s="37" t="s">
        <v>369</v>
      </c>
      <c r="B36" s="37" t="s">
        <v>339</v>
      </c>
      <c r="C36" s="46" t="s">
        <v>721</v>
      </c>
      <c r="D36" s="38" t="s">
        <v>106</v>
      </c>
      <c r="E36" s="39">
        <v>20230009</v>
      </c>
      <c r="H36" s="42" t="s">
        <v>420</v>
      </c>
      <c r="I36" s="43">
        <v>52988305</v>
      </c>
    </row>
    <row r="37" spans="1:9" x14ac:dyDescent="0.25">
      <c r="A37" s="37" t="s">
        <v>370</v>
      </c>
      <c r="B37" s="37" t="s">
        <v>339</v>
      </c>
      <c r="C37" s="46" t="s">
        <v>720</v>
      </c>
      <c r="D37" s="38" t="s">
        <v>107</v>
      </c>
      <c r="E37" s="39">
        <v>20230009</v>
      </c>
      <c r="H37" s="42" t="s">
        <v>421</v>
      </c>
      <c r="I37" s="43">
        <v>43974625</v>
      </c>
    </row>
    <row r="38" spans="1:9" ht="24" x14ac:dyDescent="0.25">
      <c r="A38" s="37" t="s">
        <v>11</v>
      </c>
      <c r="B38" s="37" t="s">
        <v>339</v>
      </c>
      <c r="C38" s="46" t="s">
        <v>741</v>
      </c>
      <c r="D38" s="38" t="s">
        <v>742</v>
      </c>
      <c r="E38" s="39">
        <v>20230009</v>
      </c>
      <c r="H38" s="42" t="s">
        <v>422</v>
      </c>
      <c r="I38" s="43">
        <v>65765794</v>
      </c>
    </row>
    <row r="39" spans="1:9" ht="24" x14ac:dyDescent="0.25">
      <c r="A39" s="37" t="s">
        <v>371</v>
      </c>
      <c r="B39" s="37" t="s">
        <v>339</v>
      </c>
      <c r="C39" s="46" t="s">
        <v>658</v>
      </c>
      <c r="D39" s="38" t="s">
        <v>659</v>
      </c>
      <c r="E39" s="39">
        <v>10410023</v>
      </c>
      <c r="H39" s="42" t="s">
        <v>423</v>
      </c>
      <c r="I39" s="43">
        <v>93369720</v>
      </c>
    </row>
    <row r="40" spans="1:9" ht="24" x14ac:dyDescent="0.25">
      <c r="A40" s="37" t="s">
        <v>372</v>
      </c>
      <c r="B40" s="37" t="s">
        <v>339</v>
      </c>
      <c r="C40" s="46" t="s">
        <v>719</v>
      </c>
      <c r="D40" s="38" t="s">
        <v>621</v>
      </c>
      <c r="E40" s="39">
        <v>20230009</v>
      </c>
      <c r="H40" s="42" t="s">
        <v>424</v>
      </c>
      <c r="I40" s="43">
        <v>79236164</v>
      </c>
    </row>
    <row r="41" spans="1:9" x14ac:dyDescent="0.25">
      <c r="A41" s="37" t="s">
        <v>12</v>
      </c>
      <c r="B41" s="37" t="s">
        <v>339</v>
      </c>
      <c r="C41" s="46" t="s">
        <v>622</v>
      </c>
      <c r="D41" s="38" t="s">
        <v>623</v>
      </c>
      <c r="E41" s="39">
        <v>20230019</v>
      </c>
      <c r="H41" s="42" t="s">
        <v>425</v>
      </c>
      <c r="I41" s="43">
        <v>42875774</v>
      </c>
    </row>
    <row r="42" spans="1:9" ht="24" x14ac:dyDescent="0.25">
      <c r="A42" s="37" t="s">
        <v>373</v>
      </c>
      <c r="B42" s="37" t="s">
        <v>339</v>
      </c>
      <c r="C42" s="46" t="s">
        <v>624</v>
      </c>
      <c r="D42" s="38" t="s">
        <v>625</v>
      </c>
      <c r="E42" s="39">
        <v>20230009</v>
      </c>
      <c r="H42" s="42" t="s">
        <v>426</v>
      </c>
      <c r="I42" s="43">
        <v>60358066</v>
      </c>
    </row>
    <row r="43" spans="1:9" ht="24" x14ac:dyDescent="0.25">
      <c r="A43" s="37" t="s">
        <v>374</v>
      </c>
      <c r="B43" s="37" t="s">
        <v>339</v>
      </c>
      <c r="C43" s="46" t="s">
        <v>743</v>
      </c>
      <c r="D43" s="38" t="s">
        <v>744</v>
      </c>
      <c r="E43" s="39">
        <v>20230009</v>
      </c>
      <c r="H43" s="42" t="s">
        <v>427</v>
      </c>
      <c r="I43" s="43">
        <v>43577512</v>
      </c>
    </row>
    <row r="44" spans="1:9" ht="24" x14ac:dyDescent="0.25">
      <c r="A44" s="37" t="s">
        <v>375</v>
      </c>
      <c r="B44" s="37" t="s">
        <v>339</v>
      </c>
      <c r="C44" s="46" t="s">
        <v>784</v>
      </c>
      <c r="D44" s="38" t="s">
        <v>785</v>
      </c>
      <c r="E44" s="39">
        <v>20230019</v>
      </c>
      <c r="H44" s="42" t="s">
        <v>428</v>
      </c>
      <c r="I44" s="43">
        <v>1214717481</v>
      </c>
    </row>
    <row r="45" spans="1:9" ht="24" x14ac:dyDescent="0.25">
      <c r="A45" s="37" t="s">
        <v>13</v>
      </c>
      <c r="B45" s="37" t="s">
        <v>339</v>
      </c>
      <c r="C45" s="46" t="s">
        <v>786</v>
      </c>
      <c r="D45" s="38" t="s">
        <v>787</v>
      </c>
      <c r="E45" s="39">
        <v>20230019</v>
      </c>
      <c r="H45" s="42" t="s">
        <v>429</v>
      </c>
      <c r="I45" s="43" t="s">
        <v>430</v>
      </c>
    </row>
    <row r="46" spans="1:9" ht="24" x14ac:dyDescent="0.25">
      <c r="A46" s="37" t="s">
        <v>347</v>
      </c>
      <c r="B46" s="37" t="s">
        <v>339</v>
      </c>
      <c r="C46" s="46" t="s">
        <v>788</v>
      </c>
      <c r="D46" s="38" t="s">
        <v>789</v>
      </c>
      <c r="E46" s="39">
        <v>20230019</v>
      </c>
      <c r="H46" s="42" t="s">
        <v>431</v>
      </c>
      <c r="I46" s="43">
        <v>98704548</v>
      </c>
    </row>
    <row r="47" spans="1:9" x14ac:dyDescent="0.25">
      <c r="A47" s="37" t="s">
        <v>348</v>
      </c>
      <c r="B47" s="37" t="s">
        <v>339</v>
      </c>
      <c r="C47" s="46" t="s">
        <v>828</v>
      </c>
      <c r="D47" s="38" t="s">
        <v>745</v>
      </c>
      <c r="E47" s="39">
        <v>10410023</v>
      </c>
      <c r="H47" s="42" t="s">
        <v>432</v>
      </c>
      <c r="I47" s="43">
        <v>7463551</v>
      </c>
    </row>
    <row r="48" spans="1:9" ht="24" x14ac:dyDescent="0.25">
      <c r="A48" s="37" t="s">
        <v>349</v>
      </c>
      <c r="B48" s="37" t="s">
        <v>355</v>
      </c>
      <c r="C48" s="46" t="s">
        <v>215</v>
      </c>
      <c r="D48" s="38" t="s">
        <v>108</v>
      </c>
      <c r="E48" s="39">
        <v>20230009</v>
      </c>
      <c r="H48" s="42" t="s">
        <v>433</v>
      </c>
      <c r="I48" s="43">
        <v>32295438</v>
      </c>
    </row>
    <row r="49" spans="1:9" ht="24" x14ac:dyDescent="0.25">
      <c r="A49" s="37" t="s">
        <v>376</v>
      </c>
      <c r="B49" s="37" t="s">
        <v>355</v>
      </c>
      <c r="C49" s="46" t="s">
        <v>217</v>
      </c>
      <c r="D49" s="38" t="s">
        <v>109</v>
      </c>
      <c r="E49" s="39">
        <v>20230009</v>
      </c>
      <c r="H49" s="42" t="s">
        <v>434</v>
      </c>
      <c r="I49" s="43">
        <v>43876824</v>
      </c>
    </row>
    <row r="50" spans="1:9" ht="24" x14ac:dyDescent="0.25">
      <c r="A50" s="37" t="s">
        <v>377</v>
      </c>
      <c r="B50" s="37" t="s">
        <v>355</v>
      </c>
      <c r="C50" s="46" t="s">
        <v>718</v>
      </c>
      <c r="D50" s="38" t="s">
        <v>110</v>
      </c>
      <c r="E50" s="39">
        <v>20230009</v>
      </c>
      <c r="H50" s="42" t="s">
        <v>435</v>
      </c>
      <c r="I50" s="43">
        <v>42690330</v>
      </c>
    </row>
    <row r="51" spans="1:9" ht="24" x14ac:dyDescent="0.25">
      <c r="A51" s="37" t="s">
        <v>378</v>
      </c>
      <c r="B51" s="37" t="s">
        <v>355</v>
      </c>
      <c r="C51" s="46" t="s">
        <v>829</v>
      </c>
      <c r="D51" s="38" t="s">
        <v>660</v>
      </c>
      <c r="E51" s="39">
        <v>10410023</v>
      </c>
      <c r="H51" s="42" t="s">
        <v>436</v>
      </c>
      <c r="I51" s="43">
        <v>39354942</v>
      </c>
    </row>
    <row r="52" spans="1:9" ht="24" x14ac:dyDescent="0.25">
      <c r="A52" s="37" t="s">
        <v>379</v>
      </c>
      <c r="B52" s="37" t="s">
        <v>355</v>
      </c>
      <c r="C52" s="46" t="s">
        <v>218</v>
      </c>
      <c r="D52" s="38" t="s">
        <v>111</v>
      </c>
      <c r="E52" s="39">
        <v>10410023</v>
      </c>
      <c r="H52" s="42" t="s">
        <v>437</v>
      </c>
      <c r="I52" s="43">
        <v>79653661</v>
      </c>
    </row>
    <row r="53" spans="1:9" ht="24" x14ac:dyDescent="0.25">
      <c r="A53" s="37" t="s">
        <v>380</v>
      </c>
      <c r="B53" s="37" t="s">
        <v>355</v>
      </c>
      <c r="C53" s="46" t="s">
        <v>216</v>
      </c>
      <c r="D53" s="38" t="s">
        <v>112</v>
      </c>
      <c r="E53" s="39">
        <v>10410023</v>
      </c>
      <c r="H53" s="42" t="s">
        <v>438</v>
      </c>
      <c r="I53" s="43">
        <v>98554575</v>
      </c>
    </row>
    <row r="54" spans="1:9" ht="24" x14ac:dyDescent="0.25">
      <c r="A54" s="37" t="s">
        <v>822</v>
      </c>
      <c r="B54" s="37" t="s">
        <v>355</v>
      </c>
      <c r="C54" s="46" t="s">
        <v>830</v>
      </c>
      <c r="D54" s="38" t="s">
        <v>627</v>
      </c>
      <c r="E54" s="39">
        <v>10410023</v>
      </c>
      <c r="H54" s="42" t="s">
        <v>439</v>
      </c>
      <c r="I54" s="43">
        <v>15385665</v>
      </c>
    </row>
    <row r="55" spans="1:9" ht="24" x14ac:dyDescent="0.25">
      <c r="A55" s="37" t="s">
        <v>350</v>
      </c>
      <c r="B55" s="37" t="s">
        <v>355</v>
      </c>
      <c r="C55" s="46" t="s">
        <v>626</v>
      </c>
      <c r="D55" s="38" t="s">
        <v>661</v>
      </c>
      <c r="E55" s="39">
        <v>10410023</v>
      </c>
      <c r="H55" s="42" t="s">
        <v>440</v>
      </c>
      <c r="I55" s="43">
        <v>43623353</v>
      </c>
    </row>
    <row r="56" spans="1:9" x14ac:dyDescent="0.25">
      <c r="A56" s="37" t="s">
        <v>351</v>
      </c>
      <c r="B56" s="37" t="s">
        <v>855</v>
      </c>
      <c r="C56" s="46" t="s">
        <v>858</v>
      </c>
      <c r="D56" s="38" t="s">
        <v>859</v>
      </c>
      <c r="E56" s="39">
        <v>10410023</v>
      </c>
      <c r="H56" s="42" t="s">
        <v>877</v>
      </c>
      <c r="I56" s="43">
        <v>42898342</v>
      </c>
    </row>
    <row r="57" spans="1:9" x14ac:dyDescent="0.25">
      <c r="A57" s="40" t="s">
        <v>381</v>
      </c>
      <c r="B57" s="37" t="s">
        <v>340</v>
      </c>
      <c r="C57" s="46" t="s">
        <v>628</v>
      </c>
      <c r="D57" s="38" t="s">
        <v>629</v>
      </c>
      <c r="E57" s="39">
        <v>20240001</v>
      </c>
      <c r="H57" s="42" t="s">
        <v>441</v>
      </c>
      <c r="I57" s="43">
        <v>43507828</v>
      </c>
    </row>
    <row r="58" spans="1:9" ht="24" x14ac:dyDescent="0.25">
      <c r="A58" s="37" t="s">
        <v>874</v>
      </c>
      <c r="B58" s="37" t="s">
        <v>356</v>
      </c>
      <c r="C58" s="46" t="s">
        <v>717</v>
      </c>
      <c r="D58" s="38" t="s">
        <v>662</v>
      </c>
      <c r="E58" s="39">
        <v>20230009</v>
      </c>
      <c r="H58" s="42" t="s">
        <v>442</v>
      </c>
      <c r="I58" s="43">
        <v>31261894</v>
      </c>
    </row>
    <row r="59" spans="1:9" x14ac:dyDescent="0.25">
      <c r="A59" s="29"/>
      <c r="B59" s="37" t="s">
        <v>356</v>
      </c>
      <c r="C59" s="46" t="s">
        <v>831</v>
      </c>
      <c r="D59" s="38" t="s">
        <v>663</v>
      </c>
      <c r="E59" s="39">
        <v>10410023</v>
      </c>
      <c r="H59" s="42" t="s">
        <v>443</v>
      </c>
      <c r="I59" s="43">
        <v>15515584</v>
      </c>
    </row>
    <row r="60" spans="1:9" ht="24" x14ac:dyDescent="0.25">
      <c r="A60" s="29"/>
      <c r="B60" s="37" t="s">
        <v>356</v>
      </c>
      <c r="C60" s="46" t="s">
        <v>219</v>
      </c>
      <c r="D60" s="38" t="s">
        <v>113</v>
      </c>
      <c r="E60" s="39">
        <v>20230009</v>
      </c>
      <c r="H60" s="42" t="s">
        <v>444</v>
      </c>
      <c r="I60" s="43">
        <v>98664727</v>
      </c>
    </row>
    <row r="61" spans="1:9" ht="24" x14ac:dyDescent="0.25">
      <c r="A61" s="29"/>
      <c r="B61" s="37" t="s">
        <v>356</v>
      </c>
      <c r="C61" s="46" t="s">
        <v>220</v>
      </c>
      <c r="D61" s="38" t="s">
        <v>114</v>
      </c>
      <c r="E61" s="39">
        <v>10410023</v>
      </c>
      <c r="H61" s="42" t="s">
        <v>445</v>
      </c>
      <c r="I61" s="43">
        <v>71757640</v>
      </c>
    </row>
    <row r="62" spans="1:9" ht="24" x14ac:dyDescent="0.25">
      <c r="A62" s="29"/>
      <c r="B62" s="37" t="s">
        <v>356</v>
      </c>
      <c r="C62" s="46" t="s">
        <v>221</v>
      </c>
      <c r="D62" s="38" t="s">
        <v>115</v>
      </c>
      <c r="E62" s="39">
        <v>20230009</v>
      </c>
      <c r="H62" s="42" t="s">
        <v>446</v>
      </c>
      <c r="I62" s="43">
        <v>12971061</v>
      </c>
    </row>
    <row r="63" spans="1:9" x14ac:dyDescent="0.25">
      <c r="A63" s="29"/>
      <c r="B63" s="37" t="s">
        <v>356</v>
      </c>
      <c r="C63" s="46" t="s">
        <v>222</v>
      </c>
      <c r="D63" s="38" t="s">
        <v>116</v>
      </c>
      <c r="E63" s="39">
        <v>20230009</v>
      </c>
      <c r="H63" s="42" t="s">
        <v>447</v>
      </c>
      <c r="I63" s="43">
        <v>76781560</v>
      </c>
    </row>
    <row r="64" spans="1:9" ht="24" x14ac:dyDescent="0.25">
      <c r="B64" s="40" t="s">
        <v>356</v>
      </c>
      <c r="C64" s="46" t="s">
        <v>630</v>
      </c>
      <c r="D64" s="38" t="s">
        <v>609</v>
      </c>
      <c r="E64" s="39">
        <v>20230009</v>
      </c>
      <c r="H64" s="42" t="s">
        <v>448</v>
      </c>
      <c r="I64" s="43">
        <v>43279195</v>
      </c>
    </row>
    <row r="65" spans="2:9" x14ac:dyDescent="0.25">
      <c r="B65" s="40" t="s">
        <v>356</v>
      </c>
      <c r="C65" s="46" t="s">
        <v>605</v>
      </c>
      <c r="D65" s="38" t="s">
        <v>610</v>
      </c>
      <c r="E65" s="39">
        <v>20230009</v>
      </c>
      <c r="H65" s="42" t="s">
        <v>449</v>
      </c>
      <c r="I65" s="43">
        <v>98663399</v>
      </c>
    </row>
    <row r="66" spans="2:9" ht="24" x14ac:dyDescent="0.25">
      <c r="B66" s="40" t="s">
        <v>356</v>
      </c>
      <c r="C66" s="46" t="s">
        <v>716</v>
      </c>
      <c r="D66" s="38" t="s">
        <v>631</v>
      </c>
      <c r="E66" s="39">
        <v>20230009</v>
      </c>
      <c r="H66" s="42" t="s">
        <v>450</v>
      </c>
      <c r="I66" s="43">
        <v>88213282</v>
      </c>
    </row>
    <row r="67" spans="2:9" x14ac:dyDescent="0.25">
      <c r="B67" s="37" t="s">
        <v>356</v>
      </c>
      <c r="C67" s="46" t="s">
        <v>715</v>
      </c>
      <c r="D67" s="38" t="s">
        <v>632</v>
      </c>
      <c r="E67" s="39">
        <v>20230009</v>
      </c>
      <c r="H67" s="42" t="s">
        <v>451</v>
      </c>
      <c r="I67" s="43">
        <v>43588021</v>
      </c>
    </row>
    <row r="68" spans="2:9" x14ac:dyDescent="0.25">
      <c r="B68" s="40" t="s">
        <v>356</v>
      </c>
      <c r="C68" s="46" t="s">
        <v>832</v>
      </c>
      <c r="D68" s="38" t="s">
        <v>664</v>
      </c>
      <c r="E68" s="39">
        <v>10410023</v>
      </c>
      <c r="H68" s="42" t="s">
        <v>452</v>
      </c>
      <c r="I68" s="43">
        <v>91247994</v>
      </c>
    </row>
    <row r="69" spans="2:9" ht="24" x14ac:dyDescent="0.25">
      <c r="B69" s="40" t="s">
        <v>746</v>
      </c>
      <c r="C69" s="46" t="s">
        <v>223</v>
      </c>
      <c r="D69" s="38" t="s">
        <v>117</v>
      </c>
      <c r="E69" s="39">
        <v>20230009</v>
      </c>
      <c r="H69" s="42" t="s">
        <v>453</v>
      </c>
      <c r="I69" s="43" t="s">
        <v>454</v>
      </c>
    </row>
    <row r="70" spans="2:9" x14ac:dyDescent="0.25">
      <c r="B70" s="40" t="s">
        <v>746</v>
      </c>
      <c r="C70" s="46" t="s">
        <v>833</v>
      </c>
      <c r="D70" s="38" t="s">
        <v>665</v>
      </c>
      <c r="E70" s="39">
        <v>10410023</v>
      </c>
      <c r="H70" s="42" t="s">
        <v>455</v>
      </c>
      <c r="I70" s="43">
        <v>98546513</v>
      </c>
    </row>
    <row r="71" spans="2:9" x14ac:dyDescent="0.25">
      <c r="B71" s="40" t="s">
        <v>358</v>
      </c>
      <c r="C71" s="46" t="s">
        <v>294</v>
      </c>
      <c r="D71" s="38" t="s">
        <v>203</v>
      </c>
      <c r="E71" s="39">
        <v>20230017</v>
      </c>
      <c r="H71" s="42" t="s">
        <v>456</v>
      </c>
      <c r="I71" s="43">
        <v>74322987</v>
      </c>
    </row>
    <row r="72" spans="2:9" ht="24" x14ac:dyDescent="0.25">
      <c r="B72" s="40" t="s">
        <v>8</v>
      </c>
      <c r="C72" s="46" t="s">
        <v>790</v>
      </c>
      <c r="D72" s="38" t="s">
        <v>791</v>
      </c>
      <c r="E72" s="39">
        <v>20230009</v>
      </c>
      <c r="H72" s="42" t="s">
        <v>457</v>
      </c>
      <c r="I72" s="43">
        <v>71706554</v>
      </c>
    </row>
    <row r="73" spans="2:9" x14ac:dyDescent="0.25">
      <c r="B73" s="40" t="s">
        <v>362</v>
      </c>
      <c r="C73" s="46" t="s">
        <v>224</v>
      </c>
      <c r="D73" s="38" t="s">
        <v>118</v>
      </c>
      <c r="E73" s="39">
        <v>20230009</v>
      </c>
      <c r="H73" s="42" t="s">
        <v>458</v>
      </c>
      <c r="I73" s="43">
        <v>70088083</v>
      </c>
    </row>
    <row r="74" spans="2:9" ht="24" x14ac:dyDescent="0.25">
      <c r="B74" s="40" t="s">
        <v>362</v>
      </c>
      <c r="C74" s="46" t="s">
        <v>714</v>
      </c>
      <c r="D74" s="38" t="s">
        <v>119</v>
      </c>
      <c r="E74" s="39">
        <v>20230009</v>
      </c>
      <c r="H74" s="42" t="s">
        <v>459</v>
      </c>
      <c r="I74" s="43">
        <v>3352862</v>
      </c>
    </row>
    <row r="75" spans="2:9" x14ac:dyDescent="0.25">
      <c r="B75" s="40" t="s">
        <v>362</v>
      </c>
      <c r="C75" s="46" t="s">
        <v>834</v>
      </c>
      <c r="D75" s="38" t="s">
        <v>666</v>
      </c>
      <c r="E75" s="39">
        <v>10410023</v>
      </c>
      <c r="H75" s="42" t="s">
        <v>460</v>
      </c>
      <c r="I75" s="43">
        <v>15316872</v>
      </c>
    </row>
    <row r="76" spans="2:9" x14ac:dyDescent="0.25">
      <c r="B76" s="40" t="s">
        <v>362</v>
      </c>
      <c r="C76" s="46" t="s">
        <v>846</v>
      </c>
      <c r="D76" s="38" t="s">
        <v>792</v>
      </c>
      <c r="E76" s="39">
        <v>10410023</v>
      </c>
      <c r="H76" s="42" t="s">
        <v>461</v>
      </c>
      <c r="I76" s="43">
        <v>530144</v>
      </c>
    </row>
    <row r="77" spans="2:9" x14ac:dyDescent="0.25">
      <c r="B77" s="40" t="s">
        <v>362</v>
      </c>
      <c r="C77" s="46" t="s">
        <v>793</v>
      </c>
      <c r="D77" s="38" t="s">
        <v>794</v>
      </c>
      <c r="E77" s="39">
        <v>20230009</v>
      </c>
      <c r="H77" s="42" t="s">
        <v>462</v>
      </c>
      <c r="I77" s="43">
        <v>71396622</v>
      </c>
    </row>
    <row r="78" spans="2:9" x14ac:dyDescent="0.25">
      <c r="B78" s="40" t="s">
        <v>362</v>
      </c>
      <c r="C78" s="46" t="s">
        <v>847</v>
      </c>
      <c r="D78" s="38" t="s">
        <v>795</v>
      </c>
      <c r="E78" s="39">
        <v>10410023</v>
      </c>
      <c r="H78" s="42" t="s">
        <v>463</v>
      </c>
      <c r="I78" s="43">
        <v>8342412</v>
      </c>
    </row>
    <row r="79" spans="2:9" x14ac:dyDescent="0.25">
      <c r="B79" s="40" t="s">
        <v>364</v>
      </c>
      <c r="C79" s="46" t="s">
        <v>835</v>
      </c>
      <c r="D79" s="38" t="s">
        <v>667</v>
      </c>
      <c r="E79" s="39">
        <v>10410023</v>
      </c>
      <c r="H79" s="42" t="s">
        <v>464</v>
      </c>
      <c r="I79" s="43">
        <v>8311845</v>
      </c>
    </row>
    <row r="80" spans="2:9" x14ac:dyDescent="0.25">
      <c r="B80" s="40" t="s">
        <v>364</v>
      </c>
      <c r="C80" s="46" t="s">
        <v>225</v>
      </c>
      <c r="D80" s="38" t="s">
        <v>120</v>
      </c>
      <c r="E80" s="39">
        <v>10410023</v>
      </c>
      <c r="H80" s="42" t="s">
        <v>465</v>
      </c>
      <c r="I80" s="43">
        <v>71748199</v>
      </c>
    </row>
    <row r="81" spans="2:9" x14ac:dyDescent="0.25">
      <c r="B81" s="40" t="s">
        <v>364</v>
      </c>
      <c r="C81" s="46" t="s">
        <v>226</v>
      </c>
      <c r="D81" s="38" t="s">
        <v>121</v>
      </c>
      <c r="E81" s="39">
        <v>20230009</v>
      </c>
      <c r="H81" s="42" t="s">
        <v>466</v>
      </c>
      <c r="I81" s="45" t="s">
        <v>601</v>
      </c>
    </row>
    <row r="82" spans="2:9" ht="24" x14ac:dyDescent="0.25">
      <c r="B82" s="40" t="s">
        <v>342</v>
      </c>
      <c r="C82" s="46" t="s">
        <v>227</v>
      </c>
      <c r="D82" s="38" t="s">
        <v>122</v>
      </c>
      <c r="E82" s="39">
        <v>20230009</v>
      </c>
      <c r="H82" s="42" t="s">
        <v>467</v>
      </c>
      <c r="I82" s="43">
        <v>39181036</v>
      </c>
    </row>
    <row r="83" spans="2:9" ht="24" x14ac:dyDescent="0.25">
      <c r="B83" s="40" t="s">
        <v>342</v>
      </c>
      <c r="C83" s="46" t="s">
        <v>228</v>
      </c>
      <c r="D83" s="38" t="s">
        <v>123</v>
      </c>
      <c r="E83" s="39">
        <v>20230009</v>
      </c>
      <c r="H83" s="42" t="s">
        <v>468</v>
      </c>
      <c r="I83" s="43">
        <v>51983999</v>
      </c>
    </row>
    <row r="84" spans="2:9" x14ac:dyDescent="0.25">
      <c r="B84" s="40" t="s">
        <v>9</v>
      </c>
      <c r="C84" s="46" t="s">
        <v>229</v>
      </c>
      <c r="D84" s="38" t="s">
        <v>124</v>
      </c>
      <c r="E84" s="39">
        <v>20230009</v>
      </c>
      <c r="H84" s="42" t="s">
        <v>469</v>
      </c>
      <c r="I84" s="43">
        <v>29331701</v>
      </c>
    </row>
    <row r="85" spans="2:9" ht="24" x14ac:dyDescent="0.25">
      <c r="B85" s="40" t="s">
        <v>9</v>
      </c>
      <c r="C85" s="46" t="s">
        <v>668</v>
      </c>
      <c r="D85" s="38" t="s">
        <v>669</v>
      </c>
      <c r="E85" s="39">
        <v>20230009</v>
      </c>
      <c r="H85" s="42" t="s">
        <v>470</v>
      </c>
      <c r="I85" s="43">
        <v>39167183</v>
      </c>
    </row>
    <row r="86" spans="2:9" x14ac:dyDescent="0.25">
      <c r="B86" s="40" t="s">
        <v>9</v>
      </c>
      <c r="C86" s="46" t="s">
        <v>230</v>
      </c>
      <c r="D86" s="38" t="s">
        <v>125</v>
      </c>
      <c r="E86" s="39">
        <v>20230009</v>
      </c>
      <c r="H86" s="42" t="s">
        <v>471</v>
      </c>
      <c r="I86" s="43">
        <v>43057165</v>
      </c>
    </row>
    <row r="87" spans="2:9" ht="24" x14ac:dyDescent="0.25">
      <c r="B87" s="40" t="s">
        <v>9</v>
      </c>
      <c r="C87" s="46" t="s">
        <v>796</v>
      </c>
      <c r="D87" s="38" t="s">
        <v>797</v>
      </c>
      <c r="E87" s="39">
        <v>20230009</v>
      </c>
      <c r="H87" s="42" t="s">
        <v>472</v>
      </c>
      <c r="I87" s="43">
        <v>41925468</v>
      </c>
    </row>
    <row r="88" spans="2:9" ht="36" x14ac:dyDescent="0.25">
      <c r="B88" s="40" t="s">
        <v>343</v>
      </c>
      <c r="C88" s="46" t="s">
        <v>775</v>
      </c>
      <c r="D88" s="38" t="s">
        <v>776</v>
      </c>
      <c r="E88" s="39">
        <v>202300019</v>
      </c>
      <c r="H88" s="42" t="s">
        <v>473</v>
      </c>
      <c r="I88" s="43">
        <v>19350413</v>
      </c>
    </row>
    <row r="89" spans="2:9" ht="24" x14ac:dyDescent="0.25">
      <c r="B89" s="40" t="s">
        <v>366</v>
      </c>
      <c r="C89" s="46" t="s">
        <v>670</v>
      </c>
      <c r="D89" s="38" t="s">
        <v>671</v>
      </c>
      <c r="E89" s="39">
        <v>20230009</v>
      </c>
      <c r="H89" s="42" t="s">
        <v>474</v>
      </c>
      <c r="I89" s="43">
        <v>1128393225</v>
      </c>
    </row>
    <row r="90" spans="2:9" ht="24" x14ac:dyDescent="0.25">
      <c r="B90" s="40" t="s">
        <v>366</v>
      </c>
      <c r="C90" s="46" t="s">
        <v>231</v>
      </c>
      <c r="D90" s="38" t="s">
        <v>126</v>
      </c>
      <c r="E90" s="39">
        <v>20230009</v>
      </c>
      <c r="H90" s="42" t="s">
        <v>475</v>
      </c>
      <c r="I90" s="43">
        <v>63508258</v>
      </c>
    </row>
    <row r="91" spans="2:9" ht="24" x14ac:dyDescent="0.25">
      <c r="B91" s="40" t="s">
        <v>366</v>
      </c>
      <c r="C91" s="46" t="s">
        <v>232</v>
      </c>
      <c r="D91" s="38" t="s">
        <v>127</v>
      </c>
      <c r="E91" s="39">
        <v>20230009</v>
      </c>
      <c r="H91" s="42" t="s">
        <v>476</v>
      </c>
      <c r="I91" s="43">
        <v>71032491</v>
      </c>
    </row>
    <row r="92" spans="2:9" ht="24" x14ac:dyDescent="0.25">
      <c r="B92" s="40" t="s">
        <v>366</v>
      </c>
      <c r="C92" s="46" t="s">
        <v>747</v>
      </c>
      <c r="D92" s="38" t="s">
        <v>748</v>
      </c>
      <c r="E92" s="39">
        <v>20230019</v>
      </c>
      <c r="H92" s="42" t="s">
        <v>477</v>
      </c>
      <c r="I92" s="43">
        <v>70047625</v>
      </c>
    </row>
    <row r="93" spans="2:9" ht="24" x14ac:dyDescent="0.25">
      <c r="B93" s="40" t="s">
        <v>366</v>
      </c>
      <c r="C93" s="46" t="s">
        <v>878</v>
      </c>
      <c r="D93" s="38" t="s">
        <v>879</v>
      </c>
      <c r="E93" s="39">
        <v>20230009</v>
      </c>
      <c r="H93" s="42" t="s">
        <v>478</v>
      </c>
      <c r="I93" s="43">
        <v>71737460</v>
      </c>
    </row>
    <row r="94" spans="2:9" ht="24" x14ac:dyDescent="0.25">
      <c r="B94" s="40" t="s">
        <v>366</v>
      </c>
      <c r="C94" s="46" t="s">
        <v>880</v>
      </c>
      <c r="D94" s="38" t="s">
        <v>881</v>
      </c>
      <c r="E94" s="39">
        <v>20230009</v>
      </c>
      <c r="H94" s="42" t="s">
        <v>479</v>
      </c>
      <c r="I94" s="43">
        <v>98523088</v>
      </c>
    </row>
    <row r="95" spans="2:9" ht="24" x14ac:dyDescent="0.25">
      <c r="B95" s="40" t="s">
        <v>382</v>
      </c>
      <c r="C95" s="46" t="s">
        <v>749</v>
      </c>
      <c r="D95" s="38" t="s">
        <v>333</v>
      </c>
      <c r="E95" s="39">
        <v>20230009</v>
      </c>
      <c r="H95" s="42" t="s">
        <v>480</v>
      </c>
      <c r="I95" s="43">
        <v>70052102</v>
      </c>
    </row>
    <row r="96" spans="2:9" x14ac:dyDescent="0.25">
      <c r="B96" s="40" t="s">
        <v>382</v>
      </c>
      <c r="C96" s="46" t="s">
        <v>233</v>
      </c>
      <c r="D96" s="38" t="s">
        <v>129</v>
      </c>
      <c r="E96" s="39">
        <v>20230009</v>
      </c>
      <c r="H96" s="42" t="s">
        <v>481</v>
      </c>
      <c r="I96" s="43">
        <v>3352118</v>
      </c>
    </row>
    <row r="97" spans="2:9" x14ac:dyDescent="0.25">
      <c r="B97" s="40" t="s">
        <v>367</v>
      </c>
      <c r="C97" s="46" t="s">
        <v>633</v>
      </c>
      <c r="D97" s="38" t="s">
        <v>128</v>
      </c>
      <c r="E97" s="39">
        <v>20230009</v>
      </c>
      <c r="H97" s="42" t="s">
        <v>482</v>
      </c>
      <c r="I97" s="43">
        <v>8061064</v>
      </c>
    </row>
    <row r="98" spans="2:9" x14ac:dyDescent="0.25">
      <c r="B98" s="40" t="s">
        <v>344</v>
      </c>
      <c r="C98" s="46" t="s">
        <v>836</v>
      </c>
      <c r="D98" s="38" t="s">
        <v>672</v>
      </c>
      <c r="E98" s="39">
        <v>10410023</v>
      </c>
      <c r="H98" s="42" t="s">
        <v>483</v>
      </c>
      <c r="I98" s="43">
        <v>8284200</v>
      </c>
    </row>
    <row r="99" spans="2:9" x14ac:dyDescent="0.25">
      <c r="B99" s="40" t="s">
        <v>344</v>
      </c>
      <c r="C99" s="46" t="s">
        <v>837</v>
      </c>
      <c r="D99" s="38" t="s">
        <v>673</v>
      </c>
      <c r="E99" s="39">
        <v>10410023</v>
      </c>
      <c r="H99" s="42" t="s">
        <v>484</v>
      </c>
      <c r="I99" s="43">
        <v>309159</v>
      </c>
    </row>
    <row r="100" spans="2:9" x14ac:dyDescent="0.25">
      <c r="B100" s="40" t="s">
        <v>345</v>
      </c>
      <c r="C100" s="46" t="s">
        <v>234</v>
      </c>
      <c r="D100" s="38" t="s">
        <v>130</v>
      </c>
      <c r="E100" s="39">
        <v>20230009</v>
      </c>
      <c r="H100" s="42" t="s">
        <v>485</v>
      </c>
      <c r="I100" s="43">
        <v>72196999</v>
      </c>
    </row>
    <row r="101" spans="2:9" x14ac:dyDescent="0.25">
      <c r="B101" s="40" t="s">
        <v>345</v>
      </c>
      <c r="C101" s="46" t="s">
        <v>838</v>
      </c>
      <c r="D101" s="38" t="s">
        <v>674</v>
      </c>
      <c r="E101" s="39">
        <v>10410023</v>
      </c>
      <c r="H101" s="42" t="s">
        <v>486</v>
      </c>
      <c r="I101" s="43">
        <v>8292512</v>
      </c>
    </row>
    <row r="102" spans="2:9" ht="24" x14ac:dyDescent="0.25">
      <c r="B102" s="40" t="s">
        <v>620</v>
      </c>
      <c r="C102" s="46" t="s">
        <v>750</v>
      </c>
      <c r="D102" s="38" t="s">
        <v>634</v>
      </c>
      <c r="E102" s="39">
        <v>20230009</v>
      </c>
      <c r="H102" s="42" t="s">
        <v>487</v>
      </c>
      <c r="I102" s="43">
        <v>71769124</v>
      </c>
    </row>
    <row r="103" spans="2:9" ht="24" x14ac:dyDescent="0.25">
      <c r="B103" s="40" t="s">
        <v>368</v>
      </c>
      <c r="C103" s="46" t="s">
        <v>235</v>
      </c>
      <c r="D103" s="38" t="s">
        <v>131</v>
      </c>
      <c r="E103" s="39">
        <v>20230009</v>
      </c>
      <c r="H103" s="42" t="s">
        <v>488</v>
      </c>
      <c r="I103" s="43">
        <v>71598955</v>
      </c>
    </row>
    <row r="104" spans="2:9" x14ac:dyDescent="0.25">
      <c r="B104" s="40" t="s">
        <v>369</v>
      </c>
      <c r="C104" s="46" t="s">
        <v>798</v>
      </c>
      <c r="D104" s="38" t="s">
        <v>799</v>
      </c>
      <c r="E104" s="39">
        <v>20230009</v>
      </c>
      <c r="H104" s="42" t="s">
        <v>489</v>
      </c>
      <c r="I104" s="43">
        <v>16774154</v>
      </c>
    </row>
    <row r="105" spans="2:9" x14ac:dyDescent="0.25">
      <c r="B105" s="40" t="s">
        <v>370</v>
      </c>
      <c r="C105" s="46" t="s">
        <v>236</v>
      </c>
      <c r="D105" s="38" t="s">
        <v>132</v>
      </c>
      <c r="E105" s="39">
        <v>20230009</v>
      </c>
      <c r="H105" s="42" t="s">
        <v>490</v>
      </c>
      <c r="I105" s="43">
        <v>71718217</v>
      </c>
    </row>
    <row r="106" spans="2:9" ht="24" x14ac:dyDescent="0.25">
      <c r="B106" s="40" t="s">
        <v>370</v>
      </c>
      <c r="C106" s="46" t="s">
        <v>237</v>
      </c>
      <c r="D106" s="38" t="s">
        <v>133</v>
      </c>
      <c r="E106" s="39">
        <v>20230009</v>
      </c>
      <c r="H106" s="42" t="s">
        <v>491</v>
      </c>
      <c r="I106" s="43">
        <v>98522591</v>
      </c>
    </row>
    <row r="107" spans="2:9" x14ac:dyDescent="0.25">
      <c r="B107" s="40" t="s">
        <v>370</v>
      </c>
      <c r="C107" s="46" t="s">
        <v>238</v>
      </c>
      <c r="D107" s="38" t="s">
        <v>134</v>
      </c>
      <c r="E107" s="39">
        <v>20230009</v>
      </c>
      <c r="H107" s="42" t="s">
        <v>492</v>
      </c>
      <c r="I107" s="43">
        <v>71738910</v>
      </c>
    </row>
    <row r="108" spans="2:9" x14ac:dyDescent="0.25">
      <c r="B108" s="40" t="s">
        <v>370</v>
      </c>
      <c r="C108" s="46" t="s">
        <v>239</v>
      </c>
      <c r="D108" s="38" t="s">
        <v>135</v>
      </c>
      <c r="E108" s="39">
        <v>20230009</v>
      </c>
      <c r="H108" s="42" t="s">
        <v>493</v>
      </c>
      <c r="I108" s="43">
        <v>8298535</v>
      </c>
    </row>
    <row r="109" spans="2:9" ht="24" x14ac:dyDescent="0.25">
      <c r="B109" s="40" t="s">
        <v>370</v>
      </c>
      <c r="C109" s="46" t="s">
        <v>240</v>
      </c>
      <c r="D109" s="38" t="s">
        <v>136</v>
      </c>
      <c r="E109" s="39">
        <v>20230009</v>
      </c>
      <c r="H109" s="42" t="s">
        <v>494</v>
      </c>
      <c r="I109" s="43" t="s">
        <v>601</v>
      </c>
    </row>
    <row r="110" spans="2:9" ht="24" x14ac:dyDescent="0.25">
      <c r="B110" s="40" t="s">
        <v>11</v>
      </c>
      <c r="C110" s="46" t="s">
        <v>675</v>
      </c>
      <c r="D110" s="38" t="s">
        <v>676</v>
      </c>
      <c r="E110" s="39">
        <v>20230009</v>
      </c>
      <c r="H110" s="42" t="s">
        <v>495</v>
      </c>
      <c r="I110" s="43">
        <v>79802985</v>
      </c>
    </row>
    <row r="111" spans="2:9" ht="24" x14ac:dyDescent="0.25">
      <c r="B111" s="40" t="s">
        <v>11</v>
      </c>
      <c r="C111" s="46" t="s">
        <v>853</v>
      </c>
      <c r="D111" s="38" t="s">
        <v>140</v>
      </c>
      <c r="E111" s="39">
        <v>20230009</v>
      </c>
      <c r="H111" s="42" t="s">
        <v>496</v>
      </c>
      <c r="I111" s="45">
        <v>70129564</v>
      </c>
    </row>
    <row r="112" spans="2:9" ht="24" x14ac:dyDescent="0.25">
      <c r="B112" s="40" t="s">
        <v>11</v>
      </c>
      <c r="C112" s="46" t="s">
        <v>241</v>
      </c>
      <c r="D112" s="38" t="s">
        <v>854</v>
      </c>
      <c r="E112" s="39">
        <v>20230009</v>
      </c>
      <c r="H112" s="42" t="s">
        <v>497</v>
      </c>
      <c r="I112" s="43">
        <v>313558</v>
      </c>
    </row>
    <row r="113" spans="2:9" ht="24" x14ac:dyDescent="0.25">
      <c r="B113" s="40" t="s">
        <v>11</v>
      </c>
      <c r="C113" s="46" t="s">
        <v>242</v>
      </c>
      <c r="D113" s="38" t="s">
        <v>137</v>
      </c>
      <c r="E113" s="39">
        <v>20230009</v>
      </c>
      <c r="H113" s="42" t="s">
        <v>498</v>
      </c>
      <c r="I113" s="43">
        <v>388446</v>
      </c>
    </row>
    <row r="114" spans="2:9" x14ac:dyDescent="0.25">
      <c r="B114" s="40" t="s">
        <v>11</v>
      </c>
      <c r="C114" s="46" t="s">
        <v>243</v>
      </c>
      <c r="D114" s="38" t="s">
        <v>138</v>
      </c>
      <c r="E114" s="39">
        <v>20230009</v>
      </c>
      <c r="H114" s="42" t="s">
        <v>499</v>
      </c>
      <c r="I114" s="43">
        <v>98519294</v>
      </c>
    </row>
    <row r="115" spans="2:9" x14ac:dyDescent="0.25">
      <c r="B115" s="40" t="s">
        <v>11</v>
      </c>
      <c r="C115" s="46" t="s">
        <v>848</v>
      </c>
      <c r="D115" s="38" t="s">
        <v>677</v>
      </c>
      <c r="E115" s="39">
        <v>10410023</v>
      </c>
      <c r="H115" s="42" t="s">
        <v>500</v>
      </c>
      <c r="I115" s="43">
        <v>71658672</v>
      </c>
    </row>
    <row r="116" spans="2:9" x14ac:dyDescent="0.25">
      <c r="B116" s="40" t="s">
        <v>11</v>
      </c>
      <c r="C116" s="46" t="s">
        <v>244</v>
      </c>
      <c r="D116" s="38" t="s">
        <v>139</v>
      </c>
      <c r="E116" s="39">
        <v>20230009</v>
      </c>
      <c r="H116" s="42" t="s">
        <v>774</v>
      </c>
      <c r="I116" s="43">
        <v>98671489</v>
      </c>
    </row>
    <row r="117" spans="2:9" ht="24" x14ac:dyDescent="0.25">
      <c r="B117" s="40" t="s">
        <v>11</v>
      </c>
      <c r="C117" s="46" t="s">
        <v>245</v>
      </c>
      <c r="D117" s="38" t="s">
        <v>141</v>
      </c>
      <c r="E117" s="39">
        <v>20230009</v>
      </c>
      <c r="H117" s="42" t="s">
        <v>501</v>
      </c>
      <c r="I117" s="43">
        <v>8125090</v>
      </c>
    </row>
    <row r="118" spans="2:9" ht="24" x14ac:dyDescent="0.25">
      <c r="B118" s="40" t="s">
        <v>11</v>
      </c>
      <c r="C118" s="46" t="s">
        <v>246</v>
      </c>
      <c r="D118" s="38" t="s">
        <v>142</v>
      </c>
      <c r="E118" s="39">
        <v>20230009</v>
      </c>
      <c r="H118" s="42" t="s">
        <v>502</v>
      </c>
      <c r="I118" s="43">
        <v>7540911</v>
      </c>
    </row>
    <row r="119" spans="2:9" ht="24" x14ac:dyDescent="0.25">
      <c r="B119" s="40" t="s">
        <v>11</v>
      </c>
      <c r="C119" s="46" t="s">
        <v>606</v>
      </c>
      <c r="D119" s="38" t="s">
        <v>611</v>
      </c>
      <c r="E119" s="39">
        <v>20230009</v>
      </c>
      <c r="H119" s="42" t="s">
        <v>503</v>
      </c>
      <c r="I119" s="43">
        <v>71659205</v>
      </c>
    </row>
    <row r="120" spans="2:9" x14ac:dyDescent="0.25">
      <c r="B120" s="40" t="s">
        <v>11</v>
      </c>
      <c r="C120" s="46" t="s">
        <v>607</v>
      </c>
      <c r="D120" s="38" t="s">
        <v>612</v>
      </c>
      <c r="E120" s="39">
        <v>20230009</v>
      </c>
      <c r="H120" s="42" t="s">
        <v>504</v>
      </c>
      <c r="I120" s="43">
        <v>15517825</v>
      </c>
    </row>
    <row r="121" spans="2:9" x14ac:dyDescent="0.25">
      <c r="B121" s="40" t="s">
        <v>11</v>
      </c>
      <c r="C121" s="46" t="s">
        <v>678</v>
      </c>
      <c r="D121" s="38" t="s">
        <v>679</v>
      </c>
      <c r="E121" s="39">
        <v>10410023</v>
      </c>
      <c r="H121" s="42" t="s">
        <v>505</v>
      </c>
      <c r="I121" s="43">
        <v>98622265</v>
      </c>
    </row>
    <row r="122" spans="2:9" x14ac:dyDescent="0.25">
      <c r="B122" s="40" t="s">
        <v>11</v>
      </c>
      <c r="C122" s="46" t="s">
        <v>839</v>
      </c>
      <c r="D122" s="38" t="s">
        <v>751</v>
      </c>
      <c r="E122" s="39">
        <v>10410023</v>
      </c>
      <c r="H122" s="42" t="s">
        <v>506</v>
      </c>
      <c r="I122" s="43">
        <v>98640721</v>
      </c>
    </row>
    <row r="123" spans="2:9" x14ac:dyDescent="0.25">
      <c r="B123" s="37" t="s">
        <v>11</v>
      </c>
      <c r="C123" s="46" t="s">
        <v>800</v>
      </c>
      <c r="D123" s="38" t="s">
        <v>801</v>
      </c>
      <c r="E123" s="39">
        <v>20230009</v>
      </c>
      <c r="H123" s="42" t="s">
        <v>507</v>
      </c>
      <c r="I123" s="43">
        <v>71779021</v>
      </c>
    </row>
    <row r="124" spans="2:9" x14ac:dyDescent="0.25">
      <c r="B124" s="40" t="s">
        <v>12</v>
      </c>
      <c r="C124" s="46" t="s">
        <v>849</v>
      </c>
      <c r="D124" s="38" t="s">
        <v>680</v>
      </c>
      <c r="E124" s="39">
        <v>10410023</v>
      </c>
      <c r="H124" s="42" t="s">
        <v>508</v>
      </c>
      <c r="I124" s="43">
        <v>71690172</v>
      </c>
    </row>
    <row r="125" spans="2:9" x14ac:dyDescent="0.25">
      <c r="B125" s="40" t="s">
        <v>12</v>
      </c>
      <c r="C125" s="46" t="s">
        <v>247</v>
      </c>
      <c r="D125" s="38" t="s">
        <v>143</v>
      </c>
      <c r="E125" s="39">
        <v>20230009</v>
      </c>
      <c r="H125" s="42" t="s">
        <v>509</v>
      </c>
      <c r="I125" s="43">
        <v>79324536</v>
      </c>
    </row>
    <row r="126" spans="2:9" ht="24" x14ac:dyDescent="0.25">
      <c r="B126" s="40" t="s">
        <v>12</v>
      </c>
      <c r="C126" s="46" t="s">
        <v>752</v>
      </c>
      <c r="D126" s="38" t="s">
        <v>753</v>
      </c>
      <c r="E126" s="39">
        <v>20230009</v>
      </c>
      <c r="H126" s="42" t="s">
        <v>510</v>
      </c>
      <c r="I126" s="43">
        <v>74185664</v>
      </c>
    </row>
    <row r="127" spans="2:9" x14ac:dyDescent="0.25">
      <c r="B127" s="40" t="s">
        <v>12</v>
      </c>
      <c r="C127" s="46" t="s">
        <v>870</v>
      </c>
      <c r="D127" s="38" t="s">
        <v>871</v>
      </c>
      <c r="E127" s="39">
        <v>20230019</v>
      </c>
      <c r="H127" s="42" t="s">
        <v>511</v>
      </c>
      <c r="I127" s="43">
        <v>43733154</v>
      </c>
    </row>
    <row r="128" spans="2:9" x14ac:dyDescent="0.25">
      <c r="B128" s="37" t="s">
        <v>777</v>
      </c>
      <c r="C128" s="46" t="s">
        <v>802</v>
      </c>
      <c r="D128" s="38" t="s">
        <v>803</v>
      </c>
      <c r="E128" s="39">
        <v>20230009</v>
      </c>
      <c r="H128" s="42" t="s">
        <v>512</v>
      </c>
      <c r="I128" s="43" t="s">
        <v>513</v>
      </c>
    </row>
    <row r="129" spans="2:9" x14ac:dyDescent="0.25">
      <c r="B129" s="37" t="s">
        <v>373</v>
      </c>
      <c r="C129" s="46" t="s">
        <v>248</v>
      </c>
      <c r="D129" s="38" t="s">
        <v>144</v>
      </c>
      <c r="E129" s="39">
        <v>20230014</v>
      </c>
      <c r="H129" s="42" t="s">
        <v>514</v>
      </c>
      <c r="I129" s="43">
        <v>71373121</v>
      </c>
    </row>
    <row r="130" spans="2:9" ht="36" x14ac:dyDescent="0.25">
      <c r="B130" s="37" t="s">
        <v>373</v>
      </c>
      <c r="C130" s="46" t="s">
        <v>249</v>
      </c>
      <c r="D130" s="38" t="s">
        <v>754</v>
      </c>
      <c r="E130" s="39">
        <v>20230014</v>
      </c>
      <c r="H130" s="42" t="s">
        <v>515</v>
      </c>
      <c r="I130" s="43" t="s">
        <v>601</v>
      </c>
    </row>
    <row r="131" spans="2:9" x14ac:dyDescent="0.25">
      <c r="B131" s="37" t="s">
        <v>373</v>
      </c>
      <c r="C131" s="46" t="s">
        <v>250</v>
      </c>
      <c r="D131" s="38" t="s">
        <v>145</v>
      </c>
      <c r="E131" s="39">
        <v>20230014</v>
      </c>
      <c r="H131" s="42" t="s">
        <v>516</v>
      </c>
      <c r="I131" s="45">
        <v>43589188</v>
      </c>
    </row>
    <row r="132" spans="2:9" x14ac:dyDescent="0.25">
      <c r="B132" s="37" t="s">
        <v>373</v>
      </c>
      <c r="C132" s="46" t="s">
        <v>251</v>
      </c>
      <c r="D132" s="38" t="s">
        <v>146</v>
      </c>
      <c r="E132" s="39">
        <v>20230014</v>
      </c>
      <c r="H132" s="42" t="s">
        <v>517</v>
      </c>
      <c r="I132" s="43">
        <v>43631379</v>
      </c>
    </row>
    <row r="133" spans="2:9" x14ac:dyDescent="0.25">
      <c r="B133" s="37" t="s">
        <v>373</v>
      </c>
      <c r="C133" s="46" t="s">
        <v>249</v>
      </c>
      <c r="D133" s="38" t="s">
        <v>147</v>
      </c>
      <c r="E133" s="39">
        <v>20230014</v>
      </c>
      <c r="H133" s="42" t="s">
        <v>518</v>
      </c>
      <c r="I133" s="43">
        <v>43574075</v>
      </c>
    </row>
    <row r="134" spans="2:9" ht="36" x14ac:dyDescent="0.25">
      <c r="B134" s="40" t="s">
        <v>373</v>
      </c>
      <c r="C134" s="46" t="s">
        <v>250</v>
      </c>
      <c r="D134" s="38" t="s">
        <v>755</v>
      </c>
      <c r="E134" s="39">
        <v>20230014</v>
      </c>
      <c r="H134" s="42" t="s">
        <v>519</v>
      </c>
      <c r="I134" s="43">
        <v>32450553</v>
      </c>
    </row>
    <row r="135" spans="2:9" ht="36" x14ac:dyDescent="0.25">
      <c r="B135" s="40" t="s">
        <v>373</v>
      </c>
      <c r="C135" s="46" t="s">
        <v>248</v>
      </c>
      <c r="D135" s="38" t="s">
        <v>756</v>
      </c>
      <c r="E135" s="39">
        <v>20230014</v>
      </c>
      <c r="H135" s="42" t="s">
        <v>520</v>
      </c>
      <c r="I135" s="43">
        <v>71850545</v>
      </c>
    </row>
    <row r="136" spans="2:9" x14ac:dyDescent="0.25">
      <c r="B136" s="40" t="s">
        <v>373</v>
      </c>
      <c r="C136" s="46" t="s">
        <v>252</v>
      </c>
      <c r="D136" s="38" t="s">
        <v>148</v>
      </c>
      <c r="E136" s="39">
        <v>20230009</v>
      </c>
      <c r="H136" s="42" t="s">
        <v>521</v>
      </c>
      <c r="I136" s="43">
        <v>71715701</v>
      </c>
    </row>
    <row r="137" spans="2:9" ht="24" x14ac:dyDescent="0.25">
      <c r="B137" s="40" t="s">
        <v>373</v>
      </c>
      <c r="C137" s="46" t="s">
        <v>253</v>
      </c>
      <c r="D137" s="38" t="s">
        <v>149</v>
      </c>
      <c r="E137" s="39">
        <v>20230009</v>
      </c>
      <c r="H137" s="42" t="s">
        <v>522</v>
      </c>
      <c r="I137" s="43">
        <v>93408901</v>
      </c>
    </row>
    <row r="138" spans="2:9" x14ac:dyDescent="0.25">
      <c r="B138" s="40" t="s">
        <v>375</v>
      </c>
      <c r="C138" s="46" t="s">
        <v>840</v>
      </c>
      <c r="D138" s="38" t="s">
        <v>681</v>
      </c>
      <c r="E138" s="39">
        <v>10410023</v>
      </c>
      <c r="H138" s="42" t="s">
        <v>523</v>
      </c>
      <c r="I138" s="43">
        <v>98762438</v>
      </c>
    </row>
    <row r="139" spans="2:9" ht="24" x14ac:dyDescent="0.25">
      <c r="B139" s="40" t="s">
        <v>375</v>
      </c>
      <c r="C139" s="46" t="s">
        <v>254</v>
      </c>
      <c r="D139" s="38" t="s">
        <v>150</v>
      </c>
      <c r="E139" s="39">
        <v>20230009</v>
      </c>
      <c r="H139" s="42" t="s">
        <v>524</v>
      </c>
      <c r="I139" s="43">
        <v>70052901</v>
      </c>
    </row>
    <row r="140" spans="2:9" x14ac:dyDescent="0.25">
      <c r="B140" s="40" t="s">
        <v>375</v>
      </c>
      <c r="C140" s="46" t="s">
        <v>804</v>
      </c>
      <c r="D140" s="38" t="s">
        <v>805</v>
      </c>
      <c r="E140" s="39">
        <v>20230009</v>
      </c>
      <c r="H140" s="42" t="s">
        <v>525</v>
      </c>
      <c r="I140" s="43">
        <v>71374326</v>
      </c>
    </row>
    <row r="141" spans="2:9" x14ac:dyDescent="0.25">
      <c r="B141" s="40" t="s">
        <v>13</v>
      </c>
      <c r="C141" s="46" t="s">
        <v>255</v>
      </c>
      <c r="D141" s="38" t="s">
        <v>151</v>
      </c>
      <c r="E141" s="39">
        <v>20230009</v>
      </c>
      <c r="H141" s="42" t="s">
        <v>526</v>
      </c>
      <c r="I141" s="43">
        <v>15319469</v>
      </c>
    </row>
    <row r="142" spans="2:9" x14ac:dyDescent="0.25">
      <c r="B142" s="40" t="s">
        <v>13</v>
      </c>
      <c r="C142" s="46" t="s">
        <v>256</v>
      </c>
      <c r="D142" s="38" t="s">
        <v>152</v>
      </c>
      <c r="E142" s="39">
        <v>20230009</v>
      </c>
      <c r="H142" s="42" t="s">
        <v>527</v>
      </c>
      <c r="I142" s="43">
        <v>71600472</v>
      </c>
    </row>
    <row r="143" spans="2:9" x14ac:dyDescent="0.25">
      <c r="B143" s="40" t="s">
        <v>13</v>
      </c>
      <c r="C143" s="46" t="s">
        <v>713</v>
      </c>
      <c r="D143" s="38" t="s">
        <v>153</v>
      </c>
      <c r="E143" s="39">
        <v>10410023</v>
      </c>
      <c r="H143" s="42" t="s">
        <v>528</v>
      </c>
      <c r="I143" s="43" t="s">
        <v>601</v>
      </c>
    </row>
    <row r="144" spans="2:9" x14ac:dyDescent="0.25">
      <c r="B144" s="40" t="s">
        <v>13</v>
      </c>
      <c r="C144" s="46" t="s">
        <v>257</v>
      </c>
      <c r="D144" s="38" t="s">
        <v>154</v>
      </c>
      <c r="E144" s="39">
        <v>20230009</v>
      </c>
      <c r="H144" s="42" t="s">
        <v>529</v>
      </c>
      <c r="I144" s="45">
        <v>42978843</v>
      </c>
    </row>
    <row r="145" spans="2:9" x14ac:dyDescent="0.25">
      <c r="B145" s="40" t="s">
        <v>13</v>
      </c>
      <c r="C145" s="46" t="s">
        <v>258</v>
      </c>
      <c r="D145" s="38" t="s">
        <v>155</v>
      </c>
      <c r="E145" s="39">
        <v>20230009</v>
      </c>
      <c r="H145" s="42" t="s">
        <v>530</v>
      </c>
      <c r="I145" s="43" t="s">
        <v>531</v>
      </c>
    </row>
    <row r="146" spans="2:9" x14ac:dyDescent="0.25">
      <c r="B146" s="40" t="s">
        <v>13</v>
      </c>
      <c r="C146" s="46" t="s">
        <v>259</v>
      </c>
      <c r="D146" s="38" t="s">
        <v>156</v>
      </c>
      <c r="E146" s="39">
        <v>20230009</v>
      </c>
      <c r="H146" s="42" t="s">
        <v>532</v>
      </c>
      <c r="I146" s="43">
        <v>18496076</v>
      </c>
    </row>
    <row r="147" spans="2:9" ht="24" x14ac:dyDescent="0.25">
      <c r="B147" s="40" t="s">
        <v>13</v>
      </c>
      <c r="C147" s="46" t="s">
        <v>260</v>
      </c>
      <c r="D147" s="38" t="s">
        <v>157</v>
      </c>
      <c r="E147" s="39">
        <v>20230009</v>
      </c>
      <c r="H147" s="42" t="s">
        <v>533</v>
      </c>
      <c r="I147" s="43">
        <v>37726659</v>
      </c>
    </row>
    <row r="148" spans="2:9" x14ac:dyDescent="0.25">
      <c r="B148" s="40" t="s">
        <v>13</v>
      </c>
      <c r="C148" s="46" t="s">
        <v>261</v>
      </c>
      <c r="D148" s="38" t="s">
        <v>158</v>
      </c>
      <c r="E148" s="39">
        <v>20230009</v>
      </c>
      <c r="H148" s="42" t="s">
        <v>534</v>
      </c>
      <c r="I148" s="43">
        <v>43736060</v>
      </c>
    </row>
    <row r="149" spans="2:9" x14ac:dyDescent="0.25">
      <c r="B149" s="48" t="s">
        <v>13</v>
      </c>
      <c r="C149" s="49" t="s">
        <v>850</v>
      </c>
      <c r="D149" s="50" t="s">
        <v>682</v>
      </c>
      <c r="E149" s="51">
        <v>10410023</v>
      </c>
      <c r="H149" s="42" t="s">
        <v>535</v>
      </c>
      <c r="I149" s="43">
        <v>43045140</v>
      </c>
    </row>
    <row r="150" spans="2:9" x14ac:dyDescent="0.25">
      <c r="B150" s="40" t="s">
        <v>13</v>
      </c>
      <c r="C150" s="46" t="s">
        <v>262</v>
      </c>
      <c r="D150" s="38" t="s">
        <v>159</v>
      </c>
      <c r="E150" s="39">
        <v>20230009</v>
      </c>
      <c r="H150" s="42" t="s">
        <v>536</v>
      </c>
      <c r="I150" s="43">
        <v>51782710</v>
      </c>
    </row>
    <row r="151" spans="2:9" ht="24" x14ac:dyDescent="0.25">
      <c r="B151" s="40" t="s">
        <v>13</v>
      </c>
      <c r="C151" s="46" t="s">
        <v>263</v>
      </c>
      <c r="D151" s="38" t="s">
        <v>160</v>
      </c>
      <c r="E151" s="39">
        <v>20230009</v>
      </c>
      <c r="H151" s="42" t="s">
        <v>537</v>
      </c>
      <c r="I151" s="43">
        <v>43754949</v>
      </c>
    </row>
    <row r="152" spans="2:9" x14ac:dyDescent="0.25">
      <c r="B152" s="40" t="s">
        <v>13</v>
      </c>
      <c r="C152" s="46" t="s">
        <v>635</v>
      </c>
      <c r="D152" s="38" t="s">
        <v>161</v>
      </c>
      <c r="E152" s="39">
        <v>20230009</v>
      </c>
      <c r="H152" s="42" t="s">
        <v>538</v>
      </c>
      <c r="I152" s="43">
        <v>32160433</v>
      </c>
    </row>
    <row r="153" spans="2:9" ht="24" x14ac:dyDescent="0.25">
      <c r="B153" s="40" t="s">
        <v>13</v>
      </c>
      <c r="C153" s="46" t="s">
        <v>757</v>
      </c>
      <c r="D153" s="38" t="s">
        <v>162</v>
      </c>
      <c r="E153" s="39">
        <v>20230009</v>
      </c>
      <c r="H153" s="42" t="s">
        <v>539</v>
      </c>
      <c r="I153" s="43">
        <v>43271158</v>
      </c>
    </row>
    <row r="154" spans="2:9" ht="24" x14ac:dyDescent="0.25">
      <c r="B154" s="40" t="s">
        <v>13</v>
      </c>
      <c r="C154" s="46" t="s">
        <v>806</v>
      </c>
      <c r="D154" s="38" t="s">
        <v>807</v>
      </c>
      <c r="E154" s="39">
        <v>20230009</v>
      </c>
      <c r="H154" s="42" t="s">
        <v>540</v>
      </c>
      <c r="I154" s="43">
        <v>42688146</v>
      </c>
    </row>
    <row r="155" spans="2:9" x14ac:dyDescent="0.25">
      <c r="B155" s="40" t="s">
        <v>13</v>
      </c>
      <c r="C155" s="46" t="s">
        <v>808</v>
      </c>
      <c r="D155" s="38" t="s">
        <v>809</v>
      </c>
      <c r="E155" s="39">
        <v>10410023</v>
      </c>
      <c r="H155" s="42" t="s">
        <v>541</v>
      </c>
      <c r="I155" s="43">
        <v>63306025</v>
      </c>
    </row>
    <row r="156" spans="2:9" x14ac:dyDescent="0.25">
      <c r="B156" s="40" t="s">
        <v>347</v>
      </c>
      <c r="C156" s="46" t="s">
        <v>841</v>
      </c>
      <c r="D156" s="38" t="s">
        <v>683</v>
      </c>
      <c r="E156" s="39">
        <v>10410023</v>
      </c>
      <c r="H156" s="42" t="s">
        <v>542</v>
      </c>
      <c r="I156" s="43">
        <v>43636595</v>
      </c>
    </row>
    <row r="157" spans="2:9" x14ac:dyDescent="0.25">
      <c r="B157" s="40" t="s">
        <v>347</v>
      </c>
      <c r="C157" s="46" t="s">
        <v>264</v>
      </c>
      <c r="D157" s="38" t="s">
        <v>163</v>
      </c>
      <c r="E157" s="39">
        <v>20230009</v>
      </c>
      <c r="H157" s="42" t="s">
        <v>543</v>
      </c>
      <c r="I157" s="43">
        <v>43820480</v>
      </c>
    </row>
    <row r="158" spans="2:9" ht="24" x14ac:dyDescent="0.25">
      <c r="B158" s="40" t="s">
        <v>347</v>
      </c>
      <c r="C158" s="46" t="s">
        <v>712</v>
      </c>
      <c r="D158" s="38" t="s">
        <v>164</v>
      </c>
      <c r="E158" s="39">
        <v>20230009</v>
      </c>
      <c r="H158" s="42" t="s">
        <v>544</v>
      </c>
      <c r="I158" s="43">
        <v>88251569</v>
      </c>
    </row>
    <row r="159" spans="2:9" x14ac:dyDescent="0.25">
      <c r="B159" s="40" t="s">
        <v>347</v>
      </c>
      <c r="C159" s="46" t="s">
        <v>711</v>
      </c>
      <c r="D159" s="38" t="s">
        <v>613</v>
      </c>
      <c r="E159" s="39">
        <v>20230009</v>
      </c>
      <c r="H159" s="42" t="s">
        <v>545</v>
      </c>
      <c r="I159" s="43">
        <v>98383434</v>
      </c>
    </row>
    <row r="160" spans="2:9" x14ac:dyDescent="0.25">
      <c r="B160" s="40" t="s">
        <v>347</v>
      </c>
      <c r="C160" s="46" t="s">
        <v>842</v>
      </c>
      <c r="D160" s="38" t="s">
        <v>684</v>
      </c>
      <c r="E160" s="39">
        <v>10410023</v>
      </c>
      <c r="H160" s="42" t="s">
        <v>546</v>
      </c>
      <c r="I160" s="43">
        <v>1017126818</v>
      </c>
    </row>
    <row r="161" spans="2:9" ht="24" x14ac:dyDescent="0.25">
      <c r="B161" s="40" t="s">
        <v>348</v>
      </c>
      <c r="C161" s="46" t="s">
        <v>758</v>
      </c>
      <c r="D161" s="38" t="s">
        <v>165</v>
      </c>
      <c r="E161" s="39">
        <v>20230009</v>
      </c>
      <c r="H161" s="42" t="s">
        <v>547</v>
      </c>
      <c r="I161" s="43">
        <v>52197727</v>
      </c>
    </row>
    <row r="162" spans="2:9" x14ac:dyDescent="0.25">
      <c r="B162" s="40" t="s">
        <v>348</v>
      </c>
      <c r="C162" s="46" t="s">
        <v>265</v>
      </c>
      <c r="D162" s="38" t="s">
        <v>166</v>
      </c>
      <c r="E162" s="39">
        <v>20230009</v>
      </c>
      <c r="H162" s="42" t="s">
        <v>548</v>
      </c>
      <c r="I162" s="43">
        <v>51706561</v>
      </c>
    </row>
    <row r="163" spans="2:9" ht="24" x14ac:dyDescent="0.25">
      <c r="B163" s="40" t="s">
        <v>348</v>
      </c>
      <c r="C163" s="46" t="s">
        <v>685</v>
      </c>
      <c r="D163" s="38" t="s">
        <v>686</v>
      </c>
      <c r="E163" s="39">
        <v>20230009</v>
      </c>
      <c r="H163" s="42" t="s">
        <v>549</v>
      </c>
      <c r="I163" s="43" t="s">
        <v>601</v>
      </c>
    </row>
    <row r="164" spans="2:9" x14ac:dyDescent="0.25">
      <c r="B164" s="40" t="s">
        <v>348</v>
      </c>
      <c r="C164" s="46" t="s">
        <v>266</v>
      </c>
      <c r="D164" s="38" t="s">
        <v>167</v>
      </c>
      <c r="E164" s="39">
        <v>20230009</v>
      </c>
      <c r="H164" s="42" t="s">
        <v>550</v>
      </c>
      <c r="I164" s="45" t="s">
        <v>601</v>
      </c>
    </row>
    <row r="165" spans="2:9" ht="24" x14ac:dyDescent="0.25">
      <c r="B165" s="40" t="s">
        <v>348</v>
      </c>
      <c r="C165" s="46" t="s">
        <v>267</v>
      </c>
      <c r="D165" s="38" t="s">
        <v>168</v>
      </c>
      <c r="E165" s="39">
        <v>20230009</v>
      </c>
      <c r="H165" s="42" t="s">
        <v>551</v>
      </c>
      <c r="I165" s="45">
        <v>32392138</v>
      </c>
    </row>
    <row r="166" spans="2:9" x14ac:dyDescent="0.25">
      <c r="B166" s="40" t="s">
        <v>348</v>
      </c>
      <c r="C166" s="46" t="s">
        <v>710</v>
      </c>
      <c r="D166" s="38" t="s">
        <v>614</v>
      </c>
      <c r="E166" s="39">
        <v>20230009</v>
      </c>
      <c r="H166" s="42" t="s">
        <v>552</v>
      </c>
      <c r="I166" s="43">
        <v>70561630</v>
      </c>
    </row>
    <row r="167" spans="2:9" x14ac:dyDescent="0.25">
      <c r="B167" s="40" t="s">
        <v>348</v>
      </c>
      <c r="C167" s="46" t="s">
        <v>843</v>
      </c>
      <c r="D167" s="38" t="s">
        <v>687</v>
      </c>
      <c r="E167" s="39">
        <v>10410023</v>
      </c>
      <c r="H167" s="42" t="s">
        <v>553</v>
      </c>
      <c r="I167" s="43">
        <v>98545035</v>
      </c>
    </row>
    <row r="168" spans="2:9" ht="24" x14ac:dyDescent="0.25">
      <c r="B168" s="40" t="s">
        <v>348</v>
      </c>
      <c r="C168" s="46" t="s">
        <v>268</v>
      </c>
      <c r="D168" s="38" t="s">
        <v>169</v>
      </c>
      <c r="E168" s="39">
        <v>20230009</v>
      </c>
      <c r="H168" s="42" t="s">
        <v>554</v>
      </c>
      <c r="I168" s="43">
        <v>103098312</v>
      </c>
    </row>
    <row r="169" spans="2:9" ht="24" x14ac:dyDescent="0.25">
      <c r="B169" s="40" t="s">
        <v>348</v>
      </c>
      <c r="C169" s="46" t="s">
        <v>759</v>
      </c>
      <c r="D169" s="38" t="s">
        <v>760</v>
      </c>
      <c r="E169" s="39">
        <v>10410023</v>
      </c>
      <c r="H169" s="42" t="s">
        <v>555</v>
      </c>
      <c r="I169" s="43">
        <v>42775166</v>
      </c>
    </row>
    <row r="170" spans="2:9" x14ac:dyDescent="0.25">
      <c r="B170" s="40" t="s">
        <v>348</v>
      </c>
      <c r="C170" s="46" t="s">
        <v>698</v>
      </c>
      <c r="D170" s="38" t="s">
        <v>699</v>
      </c>
      <c r="E170" s="39">
        <v>20230009</v>
      </c>
      <c r="H170" s="42" t="s">
        <v>556</v>
      </c>
      <c r="I170" s="43">
        <v>39355853</v>
      </c>
    </row>
    <row r="171" spans="2:9" x14ac:dyDescent="0.25">
      <c r="B171" s="40" t="s">
        <v>348</v>
      </c>
      <c r="C171" s="46" t="s">
        <v>293</v>
      </c>
      <c r="D171" s="38" t="s">
        <v>201</v>
      </c>
      <c r="E171" s="39">
        <v>20230009</v>
      </c>
      <c r="H171" s="42" t="s">
        <v>557</v>
      </c>
      <c r="I171" s="43">
        <v>43569251</v>
      </c>
    </row>
    <row r="172" spans="2:9" ht="24" x14ac:dyDescent="0.25">
      <c r="B172" s="40" t="s">
        <v>348</v>
      </c>
      <c r="C172" s="46" t="s">
        <v>761</v>
      </c>
      <c r="D172" s="38" t="s">
        <v>762</v>
      </c>
      <c r="E172" s="39">
        <v>20230009</v>
      </c>
      <c r="H172" s="42" t="s">
        <v>558</v>
      </c>
      <c r="I172" s="43">
        <v>24331389</v>
      </c>
    </row>
    <row r="173" spans="2:9" x14ac:dyDescent="0.25">
      <c r="B173" s="40" t="s">
        <v>348</v>
      </c>
      <c r="C173" s="46" t="s">
        <v>709</v>
      </c>
      <c r="D173" s="38" t="s">
        <v>332</v>
      </c>
      <c r="E173" s="39">
        <v>20230009</v>
      </c>
      <c r="H173" s="42" t="s">
        <v>559</v>
      </c>
      <c r="I173" s="43">
        <v>43261673</v>
      </c>
    </row>
    <row r="174" spans="2:9" ht="24" x14ac:dyDescent="0.25">
      <c r="B174" s="40" t="s">
        <v>348</v>
      </c>
      <c r="C174" s="46" t="s">
        <v>700</v>
      </c>
      <c r="D174" s="38" t="s">
        <v>202</v>
      </c>
      <c r="E174" s="39">
        <v>20230019</v>
      </c>
      <c r="H174" s="42" t="s">
        <v>560</v>
      </c>
      <c r="I174" s="43">
        <v>43973745</v>
      </c>
    </row>
    <row r="175" spans="2:9" ht="24" x14ac:dyDescent="0.25">
      <c r="B175" s="40" t="s">
        <v>348</v>
      </c>
      <c r="C175" s="46" t="s">
        <v>763</v>
      </c>
      <c r="D175" s="38" t="s">
        <v>764</v>
      </c>
      <c r="E175" s="39">
        <v>20230009</v>
      </c>
      <c r="H175" s="42" t="s">
        <v>561</v>
      </c>
      <c r="I175" s="43">
        <v>42792532</v>
      </c>
    </row>
    <row r="176" spans="2:9" ht="36" x14ac:dyDescent="0.25">
      <c r="B176" s="40" t="s">
        <v>348</v>
      </c>
      <c r="C176" s="46" t="s">
        <v>608</v>
      </c>
      <c r="D176" s="38" t="s">
        <v>617</v>
      </c>
      <c r="E176" s="39">
        <v>20230009</v>
      </c>
      <c r="H176" s="42" t="s">
        <v>562</v>
      </c>
      <c r="I176" s="43">
        <v>43273420</v>
      </c>
    </row>
    <row r="177" spans="2:9" x14ac:dyDescent="0.25">
      <c r="B177" s="40" t="s">
        <v>348</v>
      </c>
      <c r="C177" s="46" t="s">
        <v>873</v>
      </c>
      <c r="D177" s="38" t="s">
        <v>872</v>
      </c>
      <c r="E177" s="39">
        <v>20230009</v>
      </c>
      <c r="H177" s="42" t="s">
        <v>563</v>
      </c>
      <c r="I177" s="43">
        <v>71652459</v>
      </c>
    </row>
    <row r="178" spans="2:9" ht="24" x14ac:dyDescent="0.25">
      <c r="B178" s="40" t="s">
        <v>348</v>
      </c>
      <c r="C178" s="46" t="s">
        <v>765</v>
      </c>
      <c r="D178" s="38" t="s">
        <v>618</v>
      </c>
      <c r="E178" s="39">
        <v>20230009</v>
      </c>
      <c r="H178" s="42" t="s">
        <v>564</v>
      </c>
      <c r="I178" s="43">
        <v>10285050</v>
      </c>
    </row>
    <row r="179" spans="2:9" ht="24" x14ac:dyDescent="0.25">
      <c r="B179" s="40" t="s">
        <v>348</v>
      </c>
      <c r="C179" s="46" t="s">
        <v>766</v>
      </c>
      <c r="D179" s="38" t="s">
        <v>646</v>
      </c>
      <c r="E179" s="39">
        <v>20230009</v>
      </c>
      <c r="H179" s="42" t="s">
        <v>565</v>
      </c>
      <c r="I179" s="43">
        <v>2773712</v>
      </c>
    </row>
    <row r="180" spans="2:9" ht="36" x14ac:dyDescent="0.25">
      <c r="B180" s="40" t="s">
        <v>348</v>
      </c>
      <c r="C180" s="46" t="s">
        <v>886</v>
      </c>
      <c r="D180" s="38" t="s">
        <v>887</v>
      </c>
      <c r="E180" s="39">
        <v>20230044</v>
      </c>
      <c r="H180" s="42"/>
      <c r="I180" s="43"/>
    </row>
    <row r="181" spans="2:9" x14ac:dyDescent="0.25">
      <c r="B181" s="40" t="s">
        <v>349</v>
      </c>
      <c r="C181" s="46" t="s">
        <v>688</v>
      </c>
      <c r="D181" s="38" t="s">
        <v>689</v>
      </c>
      <c r="E181" s="39">
        <v>20230009</v>
      </c>
      <c r="H181" s="42" t="s">
        <v>566</v>
      </c>
      <c r="I181" s="43">
        <v>71228513</v>
      </c>
    </row>
    <row r="182" spans="2:9" ht="24" x14ac:dyDescent="0.25">
      <c r="B182" s="40" t="s">
        <v>349</v>
      </c>
      <c r="C182" s="46" t="s">
        <v>269</v>
      </c>
      <c r="D182" s="38" t="s">
        <v>170</v>
      </c>
      <c r="E182" s="39">
        <v>20230009</v>
      </c>
      <c r="H182" s="42" t="s">
        <v>567</v>
      </c>
      <c r="I182" s="43" t="s">
        <v>601</v>
      </c>
    </row>
    <row r="183" spans="2:9" x14ac:dyDescent="0.25">
      <c r="B183" s="40" t="s">
        <v>376</v>
      </c>
      <c r="C183" s="46" t="s">
        <v>708</v>
      </c>
      <c r="D183" s="38" t="s">
        <v>171</v>
      </c>
      <c r="E183" s="39">
        <v>20230009</v>
      </c>
      <c r="H183" s="42" t="s">
        <v>568</v>
      </c>
      <c r="I183" s="45">
        <v>16729916</v>
      </c>
    </row>
    <row r="184" spans="2:9" ht="24" x14ac:dyDescent="0.25">
      <c r="B184" s="40" t="s">
        <v>376</v>
      </c>
      <c r="C184" s="46" t="s">
        <v>647</v>
      </c>
      <c r="D184" s="38" t="s">
        <v>648</v>
      </c>
      <c r="E184" s="39">
        <v>20230019</v>
      </c>
      <c r="H184" s="42" t="s">
        <v>569</v>
      </c>
      <c r="I184" s="43">
        <v>3614926</v>
      </c>
    </row>
    <row r="185" spans="2:9" x14ac:dyDescent="0.25">
      <c r="B185" s="40" t="s">
        <v>376</v>
      </c>
      <c r="C185" s="46" t="s">
        <v>690</v>
      </c>
      <c r="D185" s="38" t="s">
        <v>691</v>
      </c>
      <c r="E185" s="39">
        <v>10410023</v>
      </c>
      <c r="H185" s="42" t="s">
        <v>570</v>
      </c>
      <c r="I185" s="43">
        <v>43181204</v>
      </c>
    </row>
    <row r="186" spans="2:9" ht="24" x14ac:dyDescent="0.25">
      <c r="B186" s="40" t="s">
        <v>377</v>
      </c>
      <c r="C186" s="46" t="s">
        <v>707</v>
      </c>
      <c r="D186" s="38" t="s">
        <v>172</v>
      </c>
      <c r="E186" s="39">
        <v>20230009</v>
      </c>
      <c r="H186" s="42" t="s">
        <v>571</v>
      </c>
      <c r="I186" s="43">
        <v>9274624</v>
      </c>
    </row>
    <row r="187" spans="2:9" x14ac:dyDescent="0.25">
      <c r="B187" s="40" t="s">
        <v>377</v>
      </c>
      <c r="C187" s="46" t="s">
        <v>706</v>
      </c>
      <c r="D187" s="38" t="s">
        <v>173</v>
      </c>
      <c r="E187" s="39">
        <v>20230009</v>
      </c>
      <c r="H187" s="42" t="s">
        <v>572</v>
      </c>
      <c r="I187" s="43">
        <v>14321327</v>
      </c>
    </row>
    <row r="188" spans="2:9" ht="24" x14ac:dyDescent="0.25">
      <c r="B188" s="40" t="s">
        <v>377</v>
      </c>
      <c r="C188" s="46" t="s">
        <v>705</v>
      </c>
      <c r="D188" s="38" t="s">
        <v>174</v>
      </c>
      <c r="E188" s="39">
        <v>20230009</v>
      </c>
      <c r="H188" s="42" t="s">
        <v>573</v>
      </c>
      <c r="I188" s="43">
        <v>70552478</v>
      </c>
    </row>
    <row r="189" spans="2:9" ht="24" x14ac:dyDescent="0.25">
      <c r="B189" s="40" t="s">
        <v>377</v>
      </c>
      <c r="C189" s="46" t="s">
        <v>636</v>
      </c>
      <c r="D189" s="38" t="s">
        <v>637</v>
      </c>
      <c r="E189" s="39">
        <v>20230019</v>
      </c>
      <c r="H189" s="42" t="s">
        <v>574</v>
      </c>
      <c r="I189" s="43">
        <v>78695953</v>
      </c>
    </row>
    <row r="190" spans="2:9" x14ac:dyDescent="0.25">
      <c r="B190" s="40" t="s">
        <v>377</v>
      </c>
      <c r="C190" s="46" t="s">
        <v>638</v>
      </c>
      <c r="D190" s="38" t="s">
        <v>639</v>
      </c>
      <c r="E190" s="39">
        <v>20230019</v>
      </c>
      <c r="H190" s="42" t="s">
        <v>575</v>
      </c>
      <c r="I190" s="43">
        <v>39357558</v>
      </c>
    </row>
    <row r="191" spans="2:9" ht="24" x14ac:dyDescent="0.25">
      <c r="B191" s="40" t="s">
        <v>377</v>
      </c>
      <c r="C191" s="46" t="s">
        <v>640</v>
      </c>
      <c r="D191" s="38" t="s">
        <v>641</v>
      </c>
      <c r="E191" s="39">
        <v>20230019</v>
      </c>
      <c r="H191" s="42" t="s">
        <v>576</v>
      </c>
      <c r="I191" s="43">
        <v>32144634</v>
      </c>
    </row>
    <row r="192" spans="2:9" x14ac:dyDescent="0.25">
      <c r="B192" s="40" t="s">
        <v>377</v>
      </c>
      <c r="C192" s="46" t="s">
        <v>692</v>
      </c>
      <c r="D192" s="38" t="s">
        <v>693</v>
      </c>
      <c r="E192" s="39">
        <v>10410023</v>
      </c>
      <c r="H192" s="42" t="s">
        <v>577</v>
      </c>
      <c r="I192" s="43">
        <v>43976190</v>
      </c>
    </row>
    <row r="193" spans="2:9" x14ac:dyDescent="0.25">
      <c r="B193" s="40" t="s">
        <v>378</v>
      </c>
      <c r="C193" s="46" t="s">
        <v>270</v>
      </c>
      <c r="D193" s="38" t="s">
        <v>175</v>
      </c>
      <c r="E193" s="39">
        <v>20230009</v>
      </c>
      <c r="H193" s="42" t="s">
        <v>578</v>
      </c>
      <c r="I193" s="43">
        <v>1037584763</v>
      </c>
    </row>
    <row r="194" spans="2:9" x14ac:dyDescent="0.25">
      <c r="B194" s="40" t="s">
        <v>378</v>
      </c>
      <c r="C194" s="46" t="s">
        <v>851</v>
      </c>
      <c r="D194" s="38" t="s">
        <v>694</v>
      </c>
      <c r="E194" s="39">
        <v>10410023</v>
      </c>
      <c r="H194" s="42" t="s">
        <v>603</v>
      </c>
      <c r="I194" s="43">
        <v>91274892</v>
      </c>
    </row>
    <row r="195" spans="2:9" ht="24" x14ac:dyDescent="0.25">
      <c r="B195" s="40" t="s">
        <v>378</v>
      </c>
      <c r="C195" s="46" t="s">
        <v>767</v>
      </c>
      <c r="D195" s="38" t="s">
        <v>615</v>
      </c>
      <c r="E195" s="39">
        <v>20230009</v>
      </c>
      <c r="H195" s="42" t="s">
        <v>579</v>
      </c>
      <c r="I195" s="43">
        <v>79396377</v>
      </c>
    </row>
    <row r="196" spans="2:9" ht="24" x14ac:dyDescent="0.25">
      <c r="B196" s="40" t="s">
        <v>378</v>
      </c>
      <c r="C196" s="46" t="s">
        <v>704</v>
      </c>
      <c r="D196" s="38" t="s">
        <v>642</v>
      </c>
      <c r="E196" s="39">
        <v>20230009</v>
      </c>
      <c r="H196" s="42" t="s">
        <v>580</v>
      </c>
      <c r="I196" s="43">
        <v>71604098</v>
      </c>
    </row>
    <row r="197" spans="2:9" ht="24" x14ac:dyDescent="0.25">
      <c r="B197" s="40" t="s">
        <v>378</v>
      </c>
      <c r="C197" s="46" t="s">
        <v>768</v>
      </c>
      <c r="D197" s="38" t="s">
        <v>616</v>
      </c>
      <c r="E197" s="39">
        <v>20230019</v>
      </c>
      <c r="H197" s="42" t="s">
        <v>581</v>
      </c>
      <c r="I197" s="43" t="s">
        <v>601</v>
      </c>
    </row>
    <row r="198" spans="2:9" ht="24" x14ac:dyDescent="0.25">
      <c r="B198" s="40" t="s">
        <v>378</v>
      </c>
      <c r="C198" s="46" t="s">
        <v>810</v>
      </c>
      <c r="D198" s="38" t="s">
        <v>811</v>
      </c>
      <c r="E198" s="39">
        <v>20230009</v>
      </c>
      <c r="H198" s="42" t="s">
        <v>582</v>
      </c>
      <c r="I198" s="45">
        <v>43208454</v>
      </c>
    </row>
    <row r="199" spans="2:9" ht="24" x14ac:dyDescent="0.25">
      <c r="B199" s="40" t="s">
        <v>378</v>
      </c>
      <c r="C199" s="46" t="s">
        <v>812</v>
      </c>
      <c r="D199" s="38" t="s">
        <v>813</v>
      </c>
      <c r="E199" s="39">
        <v>20230009</v>
      </c>
      <c r="H199" s="42" t="s">
        <v>583</v>
      </c>
      <c r="I199" s="43">
        <v>37224127</v>
      </c>
    </row>
    <row r="200" spans="2:9" x14ac:dyDescent="0.25">
      <c r="B200" s="40" t="s">
        <v>378</v>
      </c>
      <c r="C200" s="46" t="s">
        <v>868</v>
      </c>
      <c r="D200" s="38" t="s">
        <v>869</v>
      </c>
      <c r="E200" s="39">
        <v>10410023</v>
      </c>
      <c r="H200" s="42" t="s">
        <v>860</v>
      </c>
      <c r="I200" s="43">
        <v>71781892</v>
      </c>
    </row>
    <row r="201" spans="2:9" ht="24" x14ac:dyDescent="0.25">
      <c r="B201" s="40" t="s">
        <v>379</v>
      </c>
      <c r="C201" s="46" t="s">
        <v>271</v>
      </c>
      <c r="D201" s="38" t="s">
        <v>176</v>
      </c>
      <c r="E201" s="39">
        <v>20230009</v>
      </c>
      <c r="H201" s="42" t="s">
        <v>883</v>
      </c>
      <c r="I201" s="43">
        <v>43684363</v>
      </c>
    </row>
    <row r="202" spans="2:9" ht="24" x14ac:dyDescent="0.25">
      <c r="B202" s="40" t="s">
        <v>379</v>
      </c>
      <c r="C202" s="46" t="s">
        <v>272</v>
      </c>
      <c r="D202" s="38" t="s">
        <v>177</v>
      </c>
      <c r="E202" s="39">
        <v>20230009</v>
      </c>
      <c r="H202" s="42" t="s">
        <v>584</v>
      </c>
      <c r="I202" s="43">
        <v>42828062</v>
      </c>
    </row>
    <row r="203" spans="2:9" x14ac:dyDescent="0.25">
      <c r="B203" s="40" t="s">
        <v>379</v>
      </c>
      <c r="C203" s="46" t="s">
        <v>273</v>
      </c>
      <c r="D203" s="38" t="s">
        <v>178</v>
      </c>
      <c r="E203" s="39">
        <v>20230009</v>
      </c>
      <c r="H203" s="42" t="s">
        <v>585</v>
      </c>
      <c r="I203" s="43">
        <v>43001116</v>
      </c>
    </row>
    <row r="204" spans="2:9" x14ac:dyDescent="0.25">
      <c r="B204" s="40" t="s">
        <v>379</v>
      </c>
      <c r="C204" s="46" t="s">
        <v>643</v>
      </c>
      <c r="D204" s="38" t="s">
        <v>644</v>
      </c>
      <c r="E204" s="39">
        <v>20230009</v>
      </c>
      <c r="H204" s="42" t="s">
        <v>586</v>
      </c>
      <c r="I204" s="43">
        <v>32297021</v>
      </c>
    </row>
    <row r="205" spans="2:9" ht="24" x14ac:dyDescent="0.25">
      <c r="B205" s="40" t="s">
        <v>379</v>
      </c>
      <c r="C205" s="46" t="s">
        <v>769</v>
      </c>
      <c r="D205" s="38" t="s">
        <v>770</v>
      </c>
      <c r="E205" s="39">
        <v>10410023</v>
      </c>
      <c r="H205" s="42" t="s">
        <v>587</v>
      </c>
      <c r="I205" s="43">
        <v>43042920</v>
      </c>
    </row>
    <row r="206" spans="2:9" x14ac:dyDescent="0.25">
      <c r="B206" s="40" t="s">
        <v>379</v>
      </c>
      <c r="C206" s="46" t="s">
        <v>852</v>
      </c>
      <c r="D206" s="38" t="s">
        <v>771</v>
      </c>
      <c r="E206" s="39">
        <v>10410023</v>
      </c>
      <c r="H206" s="42" t="s">
        <v>588</v>
      </c>
      <c r="I206" s="43">
        <v>423015</v>
      </c>
    </row>
    <row r="207" spans="2:9" x14ac:dyDescent="0.25">
      <c r="B207" s="40" t="s">
        <v>379</v>
      </c>
      <c r="C207" s="46" t="s">
        <v>696</v>
      </c>
      <c r="D207" s="38" t="s">
        <v>697</v>
      </c>
      <c r="E207" s="39">
        <v>20230009</v>
      </c>
      <c r="H207" s="42" t="s">
        <v>589</v>
      </c>
      <c r="I207" s="43">
        <v>87470374</v>
      </c>
    </row>
    <row r="208" spans="2:9" ht="24" x14ac:dyDescent="0.25">
      <c r="B208" s="40" t="s">
        <v>379</v>
      </c>
      <c r="C208" s="46" t="s">
        <v>814</v>
      </c>
      <c r="D208" s="38" t="s">
        <v>815</v>
      </c>
      <c r="E208" s="39">
        <v>10410023</v>
      </c>
      <c r="H208" s="42" t="s">
        <v>590</v>
      </c>
      <c r="I208" s="43">
        <v>42785840</v>
      </c>
    </row>
    <row r="209" spans="2:9" ht="24" x14ac:dyDescent="0.25">
      <c r="B209" s="40" t="s">
        <v>380</v>
      </c>
      <c r="C209" s="46" t="s">
        <v>274</v>
      </c>
      <c r="D209" s="38" t="s">
        <v>179</v>
      </c>
      <c r="E209" s="39">
        <v>20230009</v>
      </c>
      <c r="H209" s="42" t="s">
        <v>591</v>
      </c>
      <c r="I209" s="43">
        <v>1128445920</v>
      </c>
    </row>
    <row r="210" spans="2:9" x14ac:dyDescent="0.25">
      <c r="B210" s="40" t="s">
        <v>380</v>
      </c>
      <c r="C210" s="46" t="s">
        <v>845</v>
      </c>
      <c r="D210" s="38" t="s">
        <v>695</v>
      </c>
      <c r="E210" s="39">
        <v>10410023</v>
      </c>
      <c r="H210" s="42" t="s">
        <v>592</v>
      </c>
      <c r="I210" s="43">
        <v>3400095</v>
      </c>
    </row>
    <row r="211" spans="2:9" ht="24" x14ac:dyDescent="0.25">
      <c r="B211" s="40" t="s">
        <v>822</v>
      </c>
      <c r="C211" s="46" t="s">
        <v>816</v>
      </c>
      <c r="D211" s="38" t="s">
        <v>817</v>
      </c>
      <c r="E211" s="39" t="s">
        <v>601</v>
      </c>
      <c r="H211" s="42" t="s">
        <v>593</v>
      </c>
      <c r="I211" s="43">
        <v>43107725</v>
      </c>
    </row>
    <row r="212" spans="2:9" x14ac:dyDescent="0.25">
      <c r="B212" s="40" t="s">
        <v>822</v>
      </c>
      <c r="C212" s="46" t="s">
        <v>818</v>
      </c>
      <c r="D212" s="38" t="s">
        <v>819</v>
      </c>
      <c r="E212" s="39" t="s">
        <v>601</v>
      </c>
      <c r="H212" s="42" t="s">
        <v>594</v>
      </c>
      <c r="I212" s="43">
        <v>1128476811</v>
      </c>
    </row>
    <row r="213" spans="2:9" x14ac:dyDescent="0.25">
      <c r="B213" s="40" t="s">
        <v>822</v>
      </c>
      <c r="C213" s="46" t="s">
        <v>820</v>
      </c>
      <c r="D213" s="38" t="s">
        <v>821</v>
      </c>
      <c r="E213" s="39" t="s">
        <v>601</v>
      </c>
      <c r="H213" s="42" t="s">
        <v>595</v>
      </c>
      <c r="I213" s="43">
        <v>98635968</v>
      </c>
    </row>
    <row r="214" spans="2:9" ht="48" x14ac:dyDescent="0.25">
      <c r="B214" s="40" t="s">
        <v>350</v>
      </c>
      <c r="C214" s="46" t="s">
        <v>772</v>
      </c>
      <c r="D214" s="38" t="s">
        <v>180</v>
      </c>
      <c r="E214" s="39">
        <v>20230009</v>
      </c>
      <c r="H214" s="42" t="s">
        <v>604</v>
      </c>
      <c r="I214" s="43">
        <v>1048014259</v>
      </c>
    </row>
    <row r="215" spans="2:9" x14ac:dyDescent="0.25">
      <c r="B215" s="40" t="s">
        <v>350</v>
      </c>
      <c r="C215" s="46" t="s">
        <v>275</v>
      </c>
      <c r="D215" s="38" t="s">
        <v>181</v>
      </c>
      <c r="E215" s="39">
        <v>10410023</v>
      </c>
      <c r="H215" s="42" t="s">
        <v>596</v>
      </c>
      <c r="I215" s="43">
        <v>71330691</v>
      </c>
    </row>
    <row r="216" spans="2:9" ht="24" x14ac:dyDescent="0.25">
      <c r="B216" s="40" t="s">
        <v>350</v>
      </c>
      <c r="C216" s="46" t="s">
        <v>703</v>
      </c>
      <c r="D216" s="38" t="s">
        <v>182</v>
      </c>
      <c r="E216" s="39">
        <v>20230009</v>
      </c>
      <c r="H216" s="42" t="s">
        <v>597</v>
      </c>
      <c r="I216" s="43">
        <v>15484625</v>
      </c>
    </row>
    <row r="217" spans="2:9" x14ac:dyDescent="0.25">
      <c r="B217" s="40" t="s">
        <v>350</v>
      </c>
      <c r="C217" s="46" t="s">
        <v>844</v>
      </c>
      <c r="D217" s="38" t="s">
        <v>645</v>
      </c>
      <c r="E217" s="38">
        <v>10410023</v>
      </c>
      <c r="H217" s="42" t="s">
        <v>598</v>
      </c>
      <c r="I217" s="43">
        <v>98531399</v>
      </c>
    </row>
    <row r="218" spans="2:9" x14ac:dyDescent="0.25">
      <c r="B218" s="40" t="s">
        <v>351</v>
      </c>
      <c r="C218" s="46" t="s">
        <v>276</v>
      </c>
      <c r="D218" s="38" t="s">
        <v>183</v>
      </c>
      <c r="E218" s="39">
        <v>20230016</v>
      </c>
      <c r="H218" s="42" t="s">
        <v>599</v>
      </c>
      <c r="I218" s="43">
        <v>12906428</v>
      </c>
    </row>
    <row r="219" spans="2:9" ht="24" x14ac:dyDescent="0.25">
      <c r="B219" s="40" t="s">
        <v>351</v>
      </c>
      <c r="C219" s="46" t="s">
        <v>277</v>
      </c>
      <c r="D219" s="38" t="s">
        <v>184</v>
      </c>
      <c r="E219" s="39">
        <v>20230016</v>
      </c>
      <c r="H219" s="42" t="s">
        <v>600</v>
      </c>
      <c r="I219" s="43">
        <v>10777539</v>
      </c>
    </row>
    <row r="220" spans="2:9" ht="24" x14ac:dyDescent="0.25">
      <c r="B220" s="40" t="s">
        <v>351</v>
      </c>
      <c r="C220" s="46" t="s">
        <v>278</v>
      </c>
      <c r="D220" s="38" t="s">
        <v>185</v>
      </c>
      <c r="E220" s="39">
        <v>20230016</v>
      </c>
      <c r="I220" s="29"/>
    </row>
    <row r="221" spans="2:9" ht="24" x14ac:dyDescent="0.25">
      <c r="B221" s="40" t="s">
        <v>351</v>
      </c>
      <c r="C221" s="46" t="s">
        <v>279</v>
      </c>
      <c r="D221" s="38" t="s">
        <v>186</v>
      </c>
      <c r="E221" s="39">
        <v>20230016</v>
      </c>
    </row>
    <row r="222" spans="2:9" ht="24" x14ac:dyDescent="0.25">
      <c r="B222" s="40" t="s">
        <v>351</v>
      </c>
      <c r="C222" s="46" t="s">
        <v>280</v>
      </c>
      <c r="D222" s="38" t="s">
        <v>187</v>
      </c>
      <c r="E222" s="39">
        <v>20230016</v>
      </c>
    </row>
    <row r="223" spans="2:9" x14ac:dyDescent="0.25">
      <c r="B223" s="40" t="s">
        <v>351</v>
      </c>
      <c r="C223" s="46" t="s">
        <v>281</v>
      </c>
      <c r="D223" s="38" t="s">
        <v>188</v>
      </c>
      <c r="E223" s="39">
        <v>20230016</v>
      </c>
      <c r="I223" s="29"/>
    </row>
    <row r="224" spans="2:9" ht="24" x14ac:dyDescent="0.25">
      <c r="B224" s="40" t="s">
        <v>351</v>
      </c>
      <c r="C224" s="46" t="s">
        <v>282</v>
      </c>
      <c r="D224" s="38" t="s">
        <v>189</v>
      </c>
      <c r="E224" s="39">
        <v>20230016</v>
      </c>
      <c r="I224" s="29"/>
    </row>
    <row r="225" spans="2:9" ht="24" x14ac:dyDescent="0.25">
      <c r="B225" s="40" t="s">
        <v>351</v>
      </c>
      <c r="C225" s="46" t="s">
        <v>283</v>
      </c>
      <c r="D225" s="38" t="s">
        <v>190</v>
      </c>
      <c r="E225" s="39">
        <v>20230016</v>
      </c>
      <c r="I225" s="29"/>
    </row>
    <row r="226" spans="2:9" ht="24" x14ac:dyDescent="0.25">
      <c r="B226" s="40" t="s">
        <v>351</v>
      </c>
      <c r="C226" s="46" t="s">
        <v>284</v>
      </c>
      <c r="D226" s="38" t="s">
        <v>191</v>
      </c>
      <c r="E226" s="39">
        <v>20230016</v>
      </c>
      <c r="I226" s="29"/>
    </row>
    <row r="227" spans="2:9" ht="24" x14ac:dyDescent="0.25">
      <c r="B227" s="40" t="s">
        <v>351</v>
      </c>
      <c r="C227" s="46" t="s">
        <v>285</v>
      </c>
      <c r="D227" s="38" t="s">
        <v>192</v>
      </c>
      <c r="E227" s="39">
        <v>20230016</v>
      </c>
      <c r="I227" s="29"/>
    </row>
    <row r="228" spans="2:9" ht="24" x14ac:dyDescent="0.25">
      <c r="B228" s="40" t="s">
        <v>351</v>
      </c>
      <c r="C228" s="46" t="s">
        <v>286</v>
      </c>
      <c r="D228" s="38" t="s">
        <v>193</v>
      </c>
      <c r="E228" s="39">
        <v>20230016</v>
      </c>
      <c r="I228" s="29"/>
    </row>
    <row r="229" spans="2:9" ht="24" x14ac:dyDescent="0.25">
      <c r="B229" s="40" t="s">
        <v>351</v>
      </c>
      <c r="C229" s="46" t="s">
        <v>287</v>
      </c>
      <c r="D229" s="38" t="s">
        <v>194</v>
      </c>
      <c r="E229" s="39">
        <v>20230016</v>
      </c>
      <c r="I229" s="29"/>
    </row>
    <row r="230" spans="2:9" x14ac:dyDescent="0.25">
      <c r="B230" s="40" t="s">
        <v>351</v>
      </c>
      <c r="C230" s="46" t="s">
        <v>288</v>
      </c>
      <c r="D230" s="38" t="s">
        <v>195</v>
      </c>
      <c r="E230" s="39">
        <v>20230016</v>
      </c>
      <c r="I230" s="29"/>
    </row>
    <row r="231" spans="2:9" ht="24" x14ac:dyDescent="0.25">
      <c r="B231" s="40" t="s">
        <v>351</v>
      </c>
      <c r="C231" s="46" t="s">
        <v>289</v>
      </c>
      <c r="D231" s="38" t="s">
        <v>196</v>
      </c>
      <c r="E231" s="39">
        <v>20230016</v>
      </c>
      <c r="H231" s="42"/>
      <c r="I231" s="43"/>
    </row>
    <row r="232" spans="2:9" ht="24" x14ac:dyDescent="0.25">
      <c r="B232" s="40" t="s">
        <v>351</v>
      </c>
      <c r="C232" s="46" t="s">
        <v>290</v>
      </c>
      <c r="D232" s="38" t="s">
        <v>197</v>
      </c>
      <c r="E232" s="39">
        <v>20230016</v>
      </c>
      <c r="I232" s="44"/>
    </row>
    <row r="233" spans="2:9" ht="24" x14ac:dyDescent="0.25">
      <c r="B233" s="40" t="s">
        <v>351</v>
      </c>
      <c r="C233" s="46" t="s">
        <v>773</v>
      </c>
      <c r="D233" s="38" t="s">
        <v>198</v>
      </c>
      <c r="E233" s="39">
        <v>20230016</v>
      </c>
      <c r="I233" s="44"/>
    </row>
    <row r="234" spans="2:9" ht="24" x14ac:dyDescent="0.25">
      <c r="B234" s="40" t="s">
        <v>381</v>
      </c>
      <c r="C234" s="46" t="s">
        <v>291</v>
      </c>
      <c r="D234" s="38" t="s">
        <v>199</v>
      </c>
      <c r="E234" s="39">
        <v>20230009</v>
      </c>
      <c r="I234" s="44"/>
    </row>
    <row r="235" spans="2:9" ht="24" x14ac:dyDescent="0.25">
      <c r="B235" s="40" t="s">
        <v>381</v>
      </c>
      <c r="C235" s="46" t="s">
        <v>292</v>
      </c>
      <c r="D235" s="38" t="s">
        <v>200</v>
      </c>
      <c r="E235" s="39">
        <v>20230009</v>
      </c>
    </row>
    <row r="236" spans="2:9" ht="24" x14ac:dyDescent="0.25">
      <c r="B236" s="40" t="s">
        <v>874</v>
      </c>
      <c r="C236" s="46" t="s">
        <v>876</v>
      </c>
      <c r="D236" s="38" t="s">
        <v>875</v>
      </c>
      <c r="E236" s="39">
        <v>20230009</v>
      </c>
    </row>
    <row r="237" spans="2:9" x14ac:dyDescent="0.25">
      <c r="C237" s="39"/>
      <c r="D237" s="38"/>
    </row>
    <row r="238" spans="2:9" x14ac:dyDescent="0.25">
      <c r="C238" s="39"/>
      <c r="D238" s="38"/>
    </row>
    <row r="239" spans="2:9" x14ac:dyDescent="0.25">
      <c r="C239" s="39"/>
      <c r="D239" s="38"/>
    </row>
    <row r="240" spans="2:9" x14ac:dyDescent="0.25">
      <c r="C240" s="39"/>
      <c r="D240" s="38"/>
    </row>
    <row r="241" spans="3:4" x14ac:dyDescent="0.25">
      <c r="C241" s="39"/>
      <c r="D241" s="38"/>
    </row>
    <row r="242" spans="3:4" x14ac:dyDescent="0.25">
      <c r="C242" s="39"/>
      <c r="D242" s="38"/>
    </row>
    <row r="243" spans="3:4" x14ac:dyDescent="0.25">
      <c r="C243" s="39"/>
      <c r="D243" s="38"/>
    </row>
    <row r="244" spans="3:4" x14ac:dyDescent="0.25">
      <c r="C244" s="39"/>
      <c r="D244" s="38"/>
    </row>
    <row r="245" spans="3:4" x14ac:dyDescent="0.25">
      <c r="C245" s="39"/>
      <c r="D245" s="38"/>
    </row>
    <row r="246" spans="3:4" x14ac:dyDescent="0.25">
      <c r="C246" s="39"/>
      <c r="D246" s="38"/>
    </row>
    <row r="247" spans="3:4" x14ac:dyDescent="0.25">
      <c r="C247" s="39"/>
      <c r="D247" s="38"/>
    </row>
    <row r="248" spans="3:4" x14ac:dyDescent="0.25">
      <c r="C248" s="39"/>
      <c r="D248" s="38"/>
    </row>
    <row r="249" spans="3:4" x14ac:dyDescent="0.25">
      <c r="C249" s="39"/>
      <c r="D249" s="38"/>
    </row>
    <row r="250" spans="3:4" x14ac:dyDescent="0.25">
      <c r="C250" s="39"/>
      <c r="D250" s="38"/>
    </row>
    <row r="251" spans="3:4" x14ac:dyDescent="0.25">
      <c r="C251" s="39"/>
      <c r="D251" s="38"/>
    </row>
    <row r="252" spans="3:4" x14ac:dyDescent="0.25">
      <c r="C252" s="39"/>
      <c r="D252" s="38"/>
    </row>
    <row r="253" spans="3:4" x14ac:dyDescent="0.25">
      <c r="C253" s="39"/>
      <c r="D253" s="38"/>
    </row>
    <row r="254" spans="3:4" x14ac:dyDescent="0.25">
      <c r="C254" s="39"/>
      <c r="D254" s="38"/>
    </row>
    <row r="255" spans="3:4" x14ac:dyDescent="0.25">
      <c r="C255" s="39"/>
      <c r="D255" s="38"/>
    </row>
    <row r="256" spans="3:4" x14ac:dyDescent="0.25">
      <c r="C256" s="39"/>
      <c r="D256" s="38"/>
    </row>
    <row r="257" spans="3:4" x14ac:dyDescent="0.25">
      <c r="C257" s="39"/>
      <c r="D257" s="38"/>
    </row>
    <row r="258" spans="3:4" x14ac:dyDescent="0.25">
      <c r="C258" s="39"/>
      <c r="D258" s="38"/>
    </row>
    <row r="259" spans="3:4" x14ac:dyDescent="0.25">
      <c r="C259" s="39"/>
      <c r="D259" s="38"/>
    </row>
    <row r="260" spans="3:4" x14ac:dyDescent="0.25">
      <c r="C260" s="39"/>
      <c r="D260" s="38"/>
    </row>
    <row r="261" spans="3:4" x14ac:dyDescent="0.25">
      <c r="C261" s="39"/>
      <c r="D261" s="38"/>
    </row>
    <row r="262" spans="3:4" x14ac:dyDescent="0.25">
      <c r="C262" s="39"/>
      <c r="D262" s="38"/>
    </row>
    <row r="263" spans="3:4" x14ac:dyDescent="0.25">
      <c r="C263" s="39"/>
      <c r="D263" s="38"/>
    </row>
    <row r="264" spans="3:4" x14ac:dyDescent="0.25">
      <c r="C264" s="39"/>
      <c r="D264" s="38"/>
    </row>
    <row r="265" spans="3:4" x14ac:dyDescent="0.25">
      <c r="C265" s="39"/>
      <c r="D265" s="38"/>
    </row>
    <row r="266" spans="3:4" x14ac:dyDescent="0.25">
      <c r="C266" s="39"/>
      <c r="D266" s="38"/>
    </row>
    <row r="267" spans="3:4" x14ac:dyDescent="0.25">
      <c r="C267" s="39"/>
      <c r="D267" s="38"/>
    </row>
    <row r="268" spans="3:4" x14ac:dyDescent="0.25">
      <c r="C268" s="39"/>
      <c r="D268" s="38"/>
    </row>
    <row r="269" spans="3:4" x14ac:dyDescent="0.25">
      <c r="C269" s="39"/>
      <c r="D269" s="38"/>
    </row>
    <row r="270" spans="3:4" x14ac:dyDescent="0.25">
      <c r="C270" s="39"/>
      <c r="D270" s="38"/>
    </row>
    <row r="271" spans="3:4" x14ac:dyDescent="0.25">
      <c r="C271" s="39"/>
      <c r="D271" s="38"/>
    </row>
    <row r="272" spans="3:4" x14ac:dyDescent="0.25">
      <c r="C272" s="39"/>
      <c r="D272" s="38"/>
    </row>
    <row r="273" spans="3:4" x14ac:dyDescent="0.25">
      <c r="C273" s="39"/>
      <c r="D273" s="38"/>
    </row>
    <row r="274" spans="3:4" x14ac:dyDescent="0.25">
      <c r="C274" s="39"/>
      <c r="D274" s="38"/>
    </row>
    <row r="275" spans="3:4" x14ac:dyDescent="0.25">
      <c r="C275" s="39"/>
      <c r="D275" s="38"/>
    </row>
    <row r="276" spans="3:4" x14ac:dyDescent="0.25">
      <c r="C276" s="39"/>
      <c r="D276" s="38"/>
    </row>
    <row r="277" spans="3:4" x14ac:dyDescent="0.25">
      <c r="C277" s="39"/>
      <c r="D277" s="38"/>
    </row>
    <row r="278" spans="3:4" x14ac:dyDescent="0.25">
      <c r="C278" s="39"/>
      <c r="D278" s="38"/>
    </row>
    <row r="279" spans="3:4" x14ac:dyDescent="0.25">
      <c r="C279" s="39"/>
      <c r="D279" s="38"/>
    </row>
    <row r="280" spans="3:4" x14ac:dyDescent="0.25">
      <c r="C280" s="39"/>
      <c r="D280" s="38"/>
    </row>
    <row r="281" spans="3:4" x14ac:dyDescent="0.25">
      <c r="C281" s="39"/>
      <c r="D281" s="38"/>
    </row>
    <row r="282" spans="3:4" x14ac:dyDescent="0.25">
      <c r="C282" s="39"/>
      <c r="D282" s="38"/>
    </row>
    <row r="283" spans="3:4" x14ac:dyDescent="0.25">
      <c r="C283" s="39"/>
      <c r="D283" s="38"/>
    </row>
    <row r="284" spans="3:4" x14ac:dyDescent="0.25">
      <c r="C284" s="39"/>
      <c r="D284" s="38"/>
    </row>
    <row r="285" spans="3:4" x14ac:dyDescent="0.25">
      <c r="C285" s="39"/>
      <c r="D285" s="38"/>
    </row>
    <row r="286" spans="3:4" x14ac:dyDescent="0.25">
      <c r="C286" s="39"/>
      <c r="D286" s="38"/>
    </row>
    <row r="287" spans="3:4" x14ac:dyDescent="0.25">
      <c r="C287" s="39"/>
      <c r="D287" s="38"/>
    </row>
    <row r="288" spans="3:4" x14ac:dyDescent="0.25">
      <c r="C288" s="39"/>
      <c r="D288" s="38"/>
    </row>
    <row r="289" spans="3:4" x14ac:dyDescent="0.25">
      <c r="C289" s="39"/>
      <c r="D289" s="38"/>
    </row>
    <row r="290" spans="3:4" x14ac:dyDescent="0.25">
      <c r="C290" s="39"/>
      <c r="D290" s="38"/>
    </row>
    <row r="291" spans="3:4" x14ac:dyDescent="0.25">
      <c r="C291" s="39"/>
      <c r="D291" s="38"/>
    </row>
    <row r="292" spans="3:4" x14ac:dyDescent="0.25">
      <c r="C292" s="39"/>
      <c r="D292" s="38"/>
    </row>
    <row r="293" spans="3:4" x14ac:dyDescent="0.25">
      <c r="C293" s="39"/>
      <c r="D293" s="38"/>
    </row>
    <row r="294" spans="3:4" x14ac:dyDescent="0.25">
      <c r="C294" s="39"/>
      <c r="D294" s="38"/>
    </row>
    <row r="295" spans="3:4" x14ac:dyDescent="0.25">
      <c r="C295" s="39"/>
      <c r="D295" s="38"/>
    </row>
    <row r="296" spans="3:4" x14ac:dyDescent="0.25">
      <c r="C296" s="39"/>
      <c r="D296" s="38"/>
    </row>
    <row r="297" spans="3:4" x14ac:dyDescent="0.25">
      <c r="C297" s="39"/>
      <c r="D297" s="38"/>
    </row>
    <row r="298" spans="3:4" x14ac:dyDescent="0.25">
      <c r="C298" s="39"/>
      <c r="D298" s="38"/>
    </row>
    <row r="299" spans="3:4" x14ac:dyDescent="0.25">
      <c r="C299" s="39"/>
      <c r="D299" s="38"/>
    </row>
    <row r="300" spans="3:4" x14ac:dyDescent="0.25">
      <c r="C300" s="39"/>
      <c r="D300" s="38"/>
    </row>
    <row r="301" spans="3:4" x14ac:dyDescent="0.25">
      <c r="C301" s="39"/>
      <c r="D301" s="38"/>
    </row>
    <row r="302" spans="3:4" x14ac:dyDescent="0.25">
      <c r="C302" s="39"/>
      <c r="D302" s="38"/>
    </row>
    <row r="303" spans="3:4" x14ac:dyDescent="0.25">
      <c r="C303" s="39"/>
      <c r="D303" s="38"/>
    </row>
    <row r="304" spans="3:4" x14ac:dyDescent="0.25">
      <c r="C304" s="39"/>
      <c r="D304" s="38"/>
    </row>
    <row r="305" spans="3:4" x14ac:dyDescent="0.25">
      <c r="C305" s="39"/>
      <c r="D305" s="38"/>
    </row>
    <row r="306" spans="3:4" x14ac:dyDescent="0.25">
      <c r="C306" s="39"/>
      <c r="D306" s="38"/>
    </row>
    <row r="307" spans="3:4" x14ac:dyDescent="0.25">
      <c r="C307" s="39"/>
      <c r="D307" s="38"/>
    </row>
    <row r="308" spans="3:4" x14ac:dyDescent="0.25">
      <c r="C308" s="39"/>
      <c r="D308" s="38"/>
    </row>
    <row r="309" spans="3:4" x14ac:dyDescent="0.25">
      <c r="C309" s="39"/>
      <c r="D309" s="38"/>
    </row>
    <row r="310" spans="3:4" x14ac:dyDescent="0.25">
      <c r="C310" s="39"/>
      <c r="D310" s="38"/>
    </row>
    <row r="311" spans="3:4" x14ac:dyDescent="0.25">
      <c r="C311" s="39"/>
      <c r="D311" s="38"/>
    </row>
    <row r="312" spans="3:4" x14ac:dyDescent="0.25">
      <c r="C312" s="39"/>
      <c r="D312" s="38"/>
    </row>
    <row r="313" spans="3:4" x14ac:dyDescent="0.25">
      <c r="C313" s="39"/>
      <c r="D313" s="38"/>
    </row>
    <row r="314" spans="3:4" x14ac:dyDescent="0.25">
      <c r="C314" s="39"/>
      <c r="D314" s="38"/>
    </row>
    <row r="315" spans="3:4" x14ac:dyDescent="0.25">
      <c r="C315" s="39"/>
      <c r="D315" s="38"/>
    </row>
    <row r="316" spans="3:4" x14ac:dyDescent="0.25">
      <c r="C316" s="39"/>
      <c r="D316" s="38"/>
    </row>
    <row r="317" spans="3:4" x14ac:dyDescent="0.25">
      <c r="C317" s="39"/>
      <c r="D317" s="38"/>
    </row>
    <row r="318" spans="3:4" x14ac:dyDescent="0.25">
      <c r="C318" s="39"/>
      <c r="D318" s="38"/>
    </row>
    <row r="319" spans="3:4" x14ac:dyDescent="0.25">
      <c r="C319" s="39"/>
      <c r="D319" s="38"/>
    </row>
    <row r="320" spans="3:4" x14ac:dyDescent="0.25">
      <c r="C320" s="39"/>
      <c r="D320" s="38"/>
    </row>
    <row r="321" spans="3:4" x14ac:dyDescent="0.25">
      <c r="C321" s="39"/>
      <c r="D321" s="38"/>
    </row>
    <row r="322" spans="3:4" x14ac:dyDescent="0.25">
      <c r="C322" s="39"/>
      <c r="D322" s="38"/>
    </row>
    <row r="323" spans="3:4" x14ac:dyDescent="0.25">
      <c r="C323" s="39"/>
      <c r="D323" s="38"/>
    </row>
    <row r="324" spans="3:4" x14ac:dyDescent="0.25">
      <c r="C324" s="39"/>
      <c r="D324" s="38"/>
    </row>
    <row r="325" spans="3:4" x14ac:dyDescent="0.25">
      <c r="C325" s="39"/>
      <c r="D325" s="38"/>
    </row>
    <row r="326" spans="3:4" x14ac:dyDescent="0.25">
      <c r="C326" s="39"/>
      <c r="D326" s="38"/>
    </row>
    <row r="327" spans="3:4" x14ac:dyDescent="0.25">
      <c r="C327" s="39"/>
      <c r="D327" s="38"/>
    </row>
    <row r="328" spans="3:4" x14ac:dyDescent="0.25">
      <c r="C328" s="39"/>
      <c r="D328" s="38"/>
    </row>
    <row r="329" spans="3:4" x14ac:dyDescent="0.25">
      <c r="C329" s="39"/>
      <c r="D329" s="38"/>
    </row>
    <row r="330" spans="3:4" x14ac:dyDescent="0.25">
      <c r="C330" s="39"/>
      <c r="D330" s="38"/>
    </row>
    <row r="331" spans="3:4" x14ac:dyDescent="0.25">
      <c r="C331" s="39"/>
      <c r="D331" s="38"/>
    </row>
    <row r="332" spans="3:4" x14ac:dyDescent="0.25">
      <c r="C332" s="39"/>
      <c r="D332" s="38"/>
    </row>
    <row r="333" spans="3:4" x14ac:dyDescent="0.25">
      <c r="C333" s="39"/>
      <c r="D333" s="38"/>
    </row>
    <row r="334" spans="3:4" x14ac:dyDescent="0.25">
      <c r="C334" s="39"/>
      <c r="D334" s="38"/>
    </row>
    <row r="335" spans="3:4" x14ac:dyDescent="0.25">
      <c r="C335" s="39"/>
      <c r="D335" s="38"/>
    </row>
    <row r="336" spans="3:4" x14ac:dyDescent="0.25">
      <c r="C336" s="39"/>
      <c r="D336" s="38"/>
    </row>
    <row r="337" spans="3:4" x14ac:dyDescent="0.25">
      <c r="C337" s="39"/>
      <c r="D337" s="38"/>
    </row>
    <row r="338" spans="3:4" x14ac:dyDescent="0.25">
      <c r="C338" s="39"/>
      <c r="D338" s="38"/>
    </row>
    <row r="339" spans="3:4" x14ac:dyDescent="0.25">
      <c r="C339" s="39"/>
      <c r="D339" s="38"/>
    </row>
    <row r="340" spans="3:4" x14ac:dyDescent="0.25">
      <c r="C340" s="39"/>
      <c r="D340" s="38"/>
    </row>
    <row r="341" spans="3:4" x14ac:dyDescent="0.25">
      <c r="C341" s="39"/>
      <c r="D341" s="38"/>
    </row>
    <row r="342" spans="3:4" x14ac:dyDescent="0.25">
      <c r="C342" s="39"/>
      <c r="D342" s="38"/>
    </row>
    <row r="343" spans="3:4" x14ac:dyDescent="0.25">
      <c r="C343" s="39"/>
      <c r="D343" s="38"/>
    </row>
    <row r="344" spans="3:4" x14ac:dyDescent="0.25">
      <c r="C344" s="39"/>
      <c r="D344" s="38"/>
    </row>
    <row r="345" spans="3:4" x14ac:dyDescent="0.25">
      <c r="C345" s="39"/>
      <c r="D345" s="38"/>
    </row>
    <row r="346" spans="3:4" x14ac:dyDescent="0.25">
      <c r="C346" s="39"/>
      <c r="D346" s="38"/>
    </row>
    <row r="347" spans="3:4" x14ac:dyDescent="0.25">
      <c r="C347" s="39"/>
      <c r="D347" s="38"/>
    </row>
    <row r="348" spans="3:4" x14ac:dyDescent="0.25">
      <c r="C348" s="39"/>
      <c r="D348" s="38"/>
    </row>
    <row r="349" spans="3:4" x14ac:dyDescent="0.25">
      <c r="C349" s="39"/>
      <c r="D349" s="38"/>
    </row>
    <row r="350" spans="3:4" x14ac:dyDescent="0.25">
      <c r="C350" s="39"/>
      <c r="D350" s="38"/>
    </row>
    <row r="351" spans="3:4" x14ac:dyDescent="0.25">
      <c r="C351" s="39"/>
      <c r="D351" s="38"/>
    </row>
    <row r="352" spans="3:4" x14ac:dyDescent="0.25">
      <c r="C352" s="39"/>
      <c r="D352" s="38"/>
    </row>
    <row r="353" spans="3:4" x14ac:dyDescent="0.25">
      <c r="C353" s="39"/>
      <c r="D353" s="38"/>
    </row>
    <row r="354" spans="3:4" x14ac:dyDescent="0.25">
      <c r="C354" s="39"/>
      <c r="D354" s="38"/>
    </row>
    <row r="355" spans="3:4" x14ac:dyDescent="0.25">
      <c r="C355" s="39"/>
      <c r="D355" s="38"/>
    </row>
    <row r="356" spans="3:4" x14ac:dyDescent="0.25">
      <c r="C356" s="39"/>
      <c r="D356" s="38"/>
    </row>
    <row r="357" spans="3:4" x14ac:dyDescent="0.25">
      <c r="C357" s="39"/>
      <c r="D357" s="38"/>
    </row>
    <row r="358" spans="3:4" x14ac:dyDescent="0.25">
      <c r="C358" s="39"/>
      <c r="D358" s="38"/>
    </row>
    <row r="359" spans="3:4" x14ac:dyDescent="0.25">
      <c r="C359" s="39"/>
      <c r="D359" s="38"/>
    </row>
    <row r="360" spans="3:4" x14ac:dyDescent="0.25">
      <c r="C360" s="39"/>
      <c r="D360" s="38"/>
    </row>
    <row r="361" spans="3:4" x14ac:dyDescent="0.25">
      <c r="C361" s="39"/>
      <c r="D361" s="38"/>
    </row>
    <row r="362" spans="3:4" x14ac:dyDescent="0.25">
      <c r="C362" s="39"/>
      <c r="D362" s="38"/>
    </row>
    <row r="363" spans="3:4" x14ac:dyDescent="0.25">
      <c r="C363" s="39"/>
      <c r="D363" s="38"/>
    </row>
    <row r="364" spans="3:4" x14ac:dyDescent="0.25">
      <c r="C364" s="39"/>
      <c r="D364" s="38"/>
    </row>
    <row r="365" spans="3:4" x14ac:dyDescent="0.25">
      <c r="C365" s="39"/>
      <c r="D365" s="38"/>
    </row>
    <row r="366" spans="3:4" x14ac:dyDescent="0.25">
      <c r="C366" s="39"/>
      <c r="D366" s="38"/>
    </row>
    <row r="367" spans="3:4" x14ac:dyDescent="0.25">
      <c r="C367" s="39"/>
      <c r="D367" s="38"/>
    </row>
    <row r="368" spans="3:4" x14ac:dyDescent="0.25">
      <c r="C368" s="39"/>
      <c r="D368" s="38"/>
    </row>
    <row r="369" spans="3:4" x14ac:dyDescent="0.25">
      <c r="C369" s="39"/>
      <c r="D369" s="38"/>
    </row>
    <row r="370" spans="3:4" x14ac:dyDescent="0.25">
      <c r="C370" s="39"/>
      <c r="D370" s="38"/>
    </row>
    <row r="371" spans="3:4" x14ac:dyDescent="0.25">
      <c r="C371" s="39"/>
      <c r="D371" s="38"/>
    </row>
    <row r="372" spans="3:4" x14ac:dyDescent="0.25">
      <c r="C372" s="39"/>
      <c r="D372" s="38"/>
    </row>
    <row r="373" spans="3:4" x14ac:dyDescent="0.25">
      <c r="C373" s="39"/>
      <c r="D373" s="38"/>
    </row>
    <row r="374" spans="3:4" x14ac:dyDescent="0.25">
      <c r="C374" s="39"/>
      <c r="D374" s="38"/>
    </row>
    <row r="375" spans="3:4" x14ac:dyDescent="0.25">
      <c r="C375" s="39"/>
      <c r="D375" s="38"/>
    </row>
    <row r="376" spans="3:4" x14ac:dyDescent="0.25">
      <c r="C376" s="39"/>
      <c r="D376" s="38"/>
    </row>
    <row r="377" spans="3:4" x14ac:dyDescent="0.25">
      <c r="C377" s="39"/>
      <c r="D377" s="38"/>
    </row>
    <row r="378" spans="3:4" x14ac:dyDescent="0.25">
      <c r="C378" s="39"/>
      <c r="D378" s="38"/>
    </row>
    <row r="379" spans="3:4" x14ac:dyDescent="0.25">
      <c r="C379" s="39"/>
      <c r="D379" s="38"/>
    </row>
    <row r="380" spans="3:4" x14ac:dyDescent="0.25">
      <c r="C380" s="39"/>
      <c r="D380" s="38"/>
    </row>
    <row r="381" spans="3:4" x14ac:dyDescent="0.25">
      <c r="C381" s="39"/>
      <c r="D381" s="38"/>
    </row>
    <row r="382" spans="3:4" x14ac:dyDescent="0.25">
      <c r="C382" s="39"/>
      <c r="D382" s="38"/>
    </row>
    <row r="383" spans="3:4" x14ac:dyDescent="0.25">
      <c r="C383" s="39"/>
      <c r="D383" s="38"/>
    </row>
    <row r="384" spans="3:4" x14ac:dyDescent="0.25">
      <c r="C384" s="39"/>
      <c r="D384" s="38"/>
    </row>
    <row r="385" spans="3:4" x14ac:dyDescent="0.25">
      <c r="C385" s="39"/>
      <c r="D385" s="38"/>
    </row>
    <row r="386" spans="3:4" x14ac:dyDescent="0.25">
      <c r="C386" s="39"/>
      <c r="D386" s="38"/>
    </row>
    <row r="387" spans="3:4" x14ac:dyDescent="0.25">
      <c r="C387" s="39"/>
      <c r="D387" s="38"/>
    </row>
    <row r="388" spans="3:4" x14ac:dyDescent="0.25">
      <c r="C388" s="39"/>
      <c r="D388" s="38"/>
    </row>
    <row r="389" spans="3:4" x14ac:dyDescent="0.25">
      <c r="C389" s="39"/>
      <c r="D389" s="38"/>
    </row>
    <row r="390" spans="3:4" x14ac:dyDescent="0.25">
      <c r="C390" s="39"/>
      <c r="D390" s="38"/>
    </row>
    <row r="391" spans="3:4" x14ac:dyDescent="0.25">
      <c r="C391" s="39"/>
      <c r="D391" s="38"/>
    </row>
    <row r="392" spans="3:4" x14ac:dyDescent="0.25">
      <c r="C392" s="39"/>
      <c r="D392" s="38"/>
    </row>
    <row r="393" spans="3:4" x14ac:dyDescent="0.25">
      <c r="C393" s="39"/>
      <c r="D393" s="38"/>
    </row>
    <row r="394" spans="3:4" x14ac:dyDescent="0.25">
      <c r="C394" s="39"/>
      <c r="D394" s="38"/>
    </row>
    <row r="395" spans="3:4" x14ac:dyDescent="0.25">
      <c r="C395" s="39"/>
      <c r="D395" s="38"/>
    </row>
    <row r="396" spans="3:4" x14ac:dyDescent="0.25">
      <c r="C396" s="39"/>
      <c r="D396" s="38"/>
    </row>
    <row r="397" spans="3:4" x14ac:dyDescent="0.25">
      <c r="C397" s="39"/>
      <c r="D397" s="38"/>
    </row>
    <row r="398" spans="3:4" x14ac:dyDescent="0.25">
      <c r="C398" s="39"/>
      <c r="D398" s="38"/>
    </row>
    <row r="399" spans="3:4" x14ac:dyDescent="0.25">
      <c r="C399" s="39"/>
      <c r="D399" s="38"/>
    </row>
    <row r="400" spans="3:4" x14ac:dyDescent="0.25">
      <c r="C400" s="39"/>
      <c r="D400" s="38"/>
    </row>
    <row r="401" spans="3:4" x14ac:dyDescent="0.25">
      <c r="C401" s="39"/>
      <c r="D401" s="38"/>
    </row>
    <row r="402" spans="3:4" x14ac:dyDescent="0.25">
      <c r="C402" s="39"/>
      <c r="D402" s="38"/>
    </row>
    <row r="403" spans="3:4" x14ac:dyDescent="0.25">
      <c r="C403" s="39"/>
      <c r="D403" s="38"/>
    </row>
    <row r="404" spans="3:4" x14ac:dyDescent="0.25">
      <c r="C404" s="39"/>
      <c r="D404" s="38"/>
    </row>
    <row r="405" spans="3:4" x14ac:dyDescent="0.25">
      <c r="C405" s="39"/>
      <c r="D405" s="38"/>
    </row>
    <row r="406" spans="3:4" x14ac:dyDescent="0.25">
      <c r="C406" s="39"/>
      <c r="D406" s="38"/>
    </row>
    <row r="407" spans="3:4" x14ac:dyDescent="0.25">
      <c r="C407" s="39"/>
      <c r="D407" s="38"/>
    </row>
    <row r="408" spans="3:4" x14ac:dyDescent="0.25">
      <c r="C408" s="39"/>
      <c r="D408" s="38"/>
    </row>
    <row r="409" spans="3:4" x14ac:dyDescent="0.25">
      <c r="C409" s="39"/>
      <c r="D409" s="38"/>
    </row>
    <row r="410" spans="3:4" x14ac:dyDescent="0.25">
      <c r="C410" s="39"/>
      <c r="D410" s="38"/>
    </row>
    <row r="411" spans="3:4" x14ac:dyDescent="0.25">
      <c r="C411" s="39"/>
      <c r="D411" s="38"/>
    </row>
    <row r="412" spans="3:4" x14ac:dyDescent="0.25">
      <c r="C412" s="39"/>
      <c r="D412" s="38"/>
    </row>
    <row r="413" spans="3:4" x14ac:dyDescent="0.25">
      <c r="C413" s="39"/>
      <c r="D413" s="38"/>
    </row>
    <row r="414" spans="3:4" x14ac:dyDescent="0.25">
      <c r="C414" s="39"/>
      <c r="D414" s="38"/>
    </row>
    <row r="415" spans="3:4" x14ac:dyDescent="0.25">
      <c r="C415" s="39"/>
      <c r="D415" s="38"/>
    </row>
    <row r="416" spans="3:4" x14ac:dyDescent="0.25">
      <c r="C416" s="39"/>
      <c r="D416" s="38"/>
    </row>
    <row r="417" spans="3:4" x14ac:dyDescent="0.25">
      <c r="C417" s="39"/>
      <c r="D417" s="38"/>
    </row>
    <row r="418" spans="3:4" x14ac:dyDescent="0.25">
      <c r="C418" s="39"/>
      <c r="D418" s="38"/>
    </row>
    <row r="419" spans="3:4" x14ac:dyDescent="0.25">
      <c r="C419" s="39"/>
      <c r="D419" s="38"/>
    </row>
    <row r="420" spans="3:4" x14ac:dyDescent="0.25">
      <c r="C420" s="39"/>
      <c r="D420" s="38"/>
    </row>
    <row r="421" spans="3:4" x14ac:dyDescent="0.25">
      <c r="C421" s="39"/>
      <c r="D421" s="38"/>
    </row>
    <row r="422" spans="3:4" x14ac:dyDescent="0.25">
      <c r="C422" s="39"/>
      <c r="D422" s="38"/>
    </row>
    <row r="423" spans="3:4" x14ac:dyDescent="0.25">
      <c r="C423" s="39"/>
      <c r="D423" s="38"/>
    </row>
    <row r="424" spans="3:4" x14ac:dyDescent="0.25">
      <c r="C424" s="39"/>
      <c r="D424" s="38"/>
    </row>
    <row r="425" spans="3:4" x14ac:dyDescent="0.25">
      <c r="C425" s="39"/>
      <c r="D425" s="38"/>
    </row>
    <row r="426" spans="3:4" x14ac:dyDescent="0.25">
      <c r="C426" s="39"/>
      <c r="D426" s="38"/>
    </row>
    <row r="427" spans="3:4" x14ac:dyDescent="0.25">
      <c r="C427" s="39"/>
      <c r="D427" s="38"/>
    </row>
    <row r="428" spans="3:4" x14ac:dyDescent="0.25">
      <c r="C428" s="39"/>
      <c r="D428" s="38"/>
    </row>
    <row r="429" spans="3:4" x14ac:dyDescent="0.25">
      <c r="C429" s="39"/>
      <c r="D429" s="38"/>
    </row>
    <row r="430" spans="3:4" x14ac:dyDescent="0.25">
      <c r="C430" s="39"/>
      <c r="D430" s="38"/>
    </row>
    <row r="431" spans="3:4" x14ac:dyDescent="0.25">
      <c r="C431" s="39"/>
      <c r="D431" s="38"/>
    </row>
    <row r="432" spans="3:4" x14ac:dyDescent="0.25">
      <c r="C432" s="39"/>
      <c r="D432" s="38"/>
    </row>
    <row r="433" spans="3:4" x14ac:dyDescent="0.25">
      <c r="C433" s="39"/>
      <c r="D433" s="38"/>
    </row>
    <row r="434" spans="3:4" x14ac:dyDescent="0.25">
      <c r="C434" s="39"/>
      <c r="D434" s="38"/>
    </row>
    <row r="435" spans="3:4" x14ac:dyDescent="0.25">
      <c r="C435" s="39"/>
      <c r="D435" s="38"/>
    </row>
    <row r="436" spans="3:4" x14ac:dyDescent="0.25">
      <c r="C436" s="39"/>
      <c r="D436" s="38"/>
    </row>
    <row r="437" spans="3:4" x14ac:dyDescent="0.25">
      <c r="C437" s="39"/>
      <c r="D437" s="38"/>
    </row>
    <row r="438" spans="3:4" x14ac:dyDescent="0.25">
      <c r="C438" s="39"/>
      <c r="D438" s="38"/>
    </row>
    <row r="439" spans="3:4" x14ac:dyDescent="0.25">
      <c r="C439" s="39"/>
      <c r="D439" s="38"/>
    </row>
    <row r="440" spans="3:4" x14ac:dyDescent="0.25">
      <c r="C440" s="39"/>
      <c r="D440" s="38"/>
    </row>
    <row r="441" spans="3:4" x14ac:dyDescent="0.25">
      <c r="C441" s="39"/>
      <c r="D441" s="38"/>
    </row>
    <row r="442" spans="3:4" x14ac:dyDescent="0.25">
      <c r="C442" s="39"/>
      <c r="D442" s="38"/>
    </row>
    <row r="443" spans="3:4" x14ac:dyDescent="0.25">
      <c r="C443" s="39"/>
      <c r="D443" s="38"/>
    </row>
    <row r="444" spans="3:4" x14ac:dyDescent="0.25">
      <c r="C444" s="39"/>
      <c r="D444" s="38"/>
    </row>
    <row r="445" spans="3:4" x14ac:dyDescent="0.25">
      <c r="C445" s="39"/>
      <c r="D445" s="38"/>
    </row>
    <row r="446" spans="3:4" x14ac:dyDescent="0.25">
      <c r="C446" s="39"/>
      <c r="D446" s="38"/>
    </row>
    <row r="447" spans="3:4" x14ac:dyDescent="0.25">
      <c r="C447" s="39"/>
      <c r="D447" s="38"/>
    </row>
    <row r="448" spans="3:4" x14ac:dyDescent="0.25">
      <c r="C448" s="39"/>
      <c r="D448" s="38"/>
    </row>
    <row r="449" spans="3:4" x14ac:dyDescent="0.25">
      <c r="C449" s="39"/>
      <c r="D449" s="38"/>
    </row>
    <row r="450" spans="3:4" x14ac:dyDescent="0.25">
      <c r="C450" s="39"/>
      <c r="D450" s="38"/>
    </row>
    <row r="451" spans="3:4" x14ac:dyDescent="0.25">
      <c r="C451" s="39"/>
      <c r="D451" s="38"/>
    </row>
    <row r="452" spans="3:4" x14ac:dyDescent="0.25">
      <c r="C452" s="39"/>
      <c r="D452" s="38"/>
    </row>
    <row r="453" spans="3:4" x14ac:dyDescent="0.25">
      <c r="C453" s="39"/>
      <c r="D453" s="38"/>
    </row>
    <row r="454" spans="3:4" x14ac:dyDescent="0.25">
      <c r="C454" s="39"/>
      <c r="D454" s="38"/>
    </row>
    <row r="455" spans="3:4" x14ac:dyDescent="0.25">
      <c r="C455" s="39"/>
      <c r="D455" s="38"/>
    </row>
    <row r="456" spans="3:4" x14ac:dyDescent="0.25">
      <c r="C456" s="39"/>
      <c r="D456" s="38"/>
    </row>
    <row r="457" spans="3:4" x14ac:dyDescent="0.25">
      <c r="C457" s="39"/>
      <c r="D457" s="38"/>
    </row>
    <row r="458" spans="3:4" x14ac:dyDescent="0.25">
      <c r="C458" s="39"/>
      <c r="D458" s="38"/>
    </row>
    <row r="459" spans="3:4" x14ac:dyDescent="0.25">
      <c r="C459" s="39"/>
      <c r="D459" s="38"/>
    </row>
    <row r="460" spans="3:4" x14ac:dyDescent="0.25">
      <c r="C460" s="39"/>
      <c r="D460" s="38"/>
    </row>
    <row r="461" spans="3:4" x14ac:dyDescent="0.25">
      <c r="C461" s="39"/>
      <c r="D461" s="38"/>
    </row>
    <row r="462" spans="3:4" x14ac:dyDescent="0.25">
      <c r="C462" s="39"/>
      <c r="D462" s="38"/>
    </row>
    <row r="463" spans="3:4" x14ac:dyDescent="0.25">
      <c r="C463" s="39"/>
      <c r="D463" s="38"/>
    </row>
    <row r="464" spans="3:4" x14ac:dyDescent="0.25">
      <c r="C464" s="39"/>
      <c r="D464" s="38"/>
    </row>
    <row r="465" spans="3:4" x14ac:dyDescent="0.25">
      <c r="C465" s="39"/>
      <c r="D465" s="38"/>
    </row>
    <row r="466" spans="3:4" x14ac:dyDescent="0.25">
      <c r="C466" s="39"/>
      <c r="D466" s="38"/>
    </row>
    <row r="467" spans="3:4" x14ac:dyDescent="0.25">
      <c r="C467" s="39"/>
      <c r="D467" s="38"/>
    </row>
    <row r="468" spans="3:4" x14ac:dyDescent="0.25">
      <c r="C468" s="39"/>
      <c r="D468" s="38"/>
    </row>
    <row r="469" spans="3:4" x14ac:dyDescent="0.25">
      <c r="C469" s="39"/>
      <c r="D469" s="38"/>
    </row>
    <row r="470" spans="3:4" x14ac:dyDescent="0.25">
      <c r="C470" s="39"/>
      <c r="D470" s="38"/>
    </row>
    <row r="471" spans="3:4" x14ac:dyDescent="0.25">
      <c r="C471" s="39"/>
      <c r="D471" s="38"/>
    </row>
    <row r="472" spans="3:4" x14ac:dyDescent="0.25">
      <c r="C472" s="39"/>
      <c r="D472" s="38"/>
    </row>
    <row r="473" spans="3:4" x14ac:dyDescent="0.25">
      <c r="C473" s="39"/>
      <c r="D473" s="38"/>
    </row>
    <row r="474" spans="3:4" x14ac:dyDescent="0.25">
      <c r="C474" s="39"/>
      <c r="D474" s="38"/>
    </row>
    <row r="475" spans="3:4" x14ac:dyDescent="0.25">
      <c r="C475" s="39"/>
      <c r="D475" s="38"/>
    </row>
    <row r="476" spans="3:4" x14ac:dyDescent="0.25">
      <c r="C476" s="39"/>
      <c r="D476" s="38"/>
    </row>
    <row r="477" spans="3:4" x14ac:dyDescent="0.25">
      <c r="C477" s="39"/>
      <c r="D477" s="38"/>
    </row>
    <row r="478" spans="3:4" x14ac:dyDescent="0.25">
      <c r="C478" s="39"/>
      <c r="D478" s="38"/>
    </row>
    <row r="479" spans="3:4" x14ac:dyDescent="0.25">
      <c r="C479" s="39"/>
      <c r="D479" s="38"/>
    </row>
    <row r="480" spans="3:4" x14ac:dyDescent="0.25">
      <c r="C480" s="39"/>
      <c r="D480" s="38"/>
    </row>
    <row r="481" spans="3:4" x14ac:dyDescent="0.25">
      <c r="C481" s="39"/>
      <c r="D481" s="38"/>
    </row>
    <row r="482" spans="3:4" x14ac:dyDescent="0.25">
      <c r="C482" s="39"/>
      <c r="D482" s="38"/>
    </row>
    <row r="483" spans="3:4" x14ac:dyDescent="0.25">
      <c r="C483" s="39"/>
      <c r="D483" s="38"/>
    </row>
    <row r="484" spans="3:4" x14ac:dyDescent="0.25">
      <c r="C484" s="39"/>
      <c r="D484" s="38"/>
    </row>
    <row r="485" spans="3:4" x14ac:dyDescent="0.25">
      <c r="C485" s="39"/>
      <c r="D485" s="38"/>
    </row>
    <row r="486" spans="3:4" x14ac:dyDescent="0.25">
      <c r="C486" s="39"/>
      <c r="D486" s="38"/>
    </row>
    <row r="487" spans="3:4" x14ac:dyDescent="0.25">
      <c r="C487" s="39"/>
      <c r="D487" s="38"/>
    </row>
    <row r="488" spans="3:4" x14ac:dyDescent="0.25">
      <c r="C488" s="39"/>
      <c r="D488" s="38"/>
    </row>
    <row r="489" spans="3:4" x14ac:dyDescent="0.25">
      <c r="C489" s="39"/>
      <c r="D489" s="38"/>
    </row>
    <row r="490" spans="3:4" x14ac:dyDescent="0.25">
      <c r="C490" s="39"/>
      <c r="D490" s="38"/>
    </row>
    <row r="491" spans="3:4" x14ac:dyDescent="0.25">
      <c r="C491" s="39"/>
      <c r="D491" s="38"/>
    </row>
    <row r="492" spans="3:4" x14ac:dyDescent="0.25">
      <c r="C492" s="39"/>
      <c r="D492" s="38"/>
    </row>
    <row r="493" spans="3:4" x14ac:dyDescent="0.25">
      <c r="C493" s="39"/>
      <c r="D493" s="38"/>
    </row>
    <row r="494" spans="3:4" x14ac:dyDescent="0.25">
      <c r="C494" s="39"/>
      <c r="D494" s="38"/>
    </row>
    <row r="495" spans="3:4" x14ac:dyDescent="0.25">
      <c r="C495" s="39"/>
      <c r="D495" s="38"/>
    </row>
    <row r="496" spans="3:4" x14ac:dyDescent="0.25">
      <c r="C496" s="39"/>
      <c r="D496" s="38"/>
    </row>
    <row r="497" spans="3:4" x14ac:dyDescent="0.25">
      <c r="C497" s="39"/>
      <c r="D497" s="38"/>
    </row>
    <row r="498" spans="3:4" x14ac:dyDescent="0.25">
      <c r="C498" s="39"/>
      <c r="D498" s="38"/>
    </row>
    <row r="499" spans="3:4" x14ac:dyDescent="0.25">
      <c r="C499" s="39"/>
      <c r="D499" s="38"/>
    </row>
    <row r="500" spans="3:4" x14ac:dyDescent="0.25">
      <c r="C500" s="39"/>
      <c r="D500" s="38"/>
    </row>
    <row r="501" spans="3:4" x14ac:dyDescent="0.25">
      <c r="C501" s="39"/>
      <c r="D501" s="38"/>
    </row>
    <row r="502" spans="3:4" x14ac:dyDescent="0.25">
      <c r="C502" s="39"/>
      <c r="D502" s="38"/>
    </row>
    <row r="503" spans="3:4" x14ac:dyDescent="0.25">
      <c r="C503" s="39"/>
      <c r="D503" s="38"/>
    </row>
    <row r="504" spans="3:4" x14ac:dyDescent="0.25">
      <c r="C504" s="39"/>
      <c r="D504" s="38"/>
    </row>
    <row r="505" spans="3:4" x14ac:dyDescent="0.25">
      <c r="C505" s="39"/>
      <c r="D505" s="38"/>
    </row>
    <row r="506" spans="3:4" x14ac:dyDescent="0.25">
      <c r="C506" s="39"/>
      <c r="D506" s="38"/>
    </row>
    <row r="507" spans="3:4" x14ac:dyDescent="0.25">
      <c r="C507" s="39"/>
      <c r="D507" s="38"/>
    </row>
    <row r="508" spans="3:4" x14ac:dyDescent="0.25">
      <c r="C508" s="39"/>
      <c r="D508" s="38"/>
    </row>
    <row r="509" spans="3:4" x14ac:dyDescent="0.25">
      <c r="C509" s="39"/>
      <c r="D509" s="38"/>
    </row>
    <row r="510" spans="3:4" x14ac:dyDescent="0.25">
      <c r="C510" s="39"/>
      <c r="D510" s="38"/>
    </row>
    <row r="511" spans="3:4" x14ac:dyDescent="0.25">
      <c r="C511" s="39"/>
      <c r="D511" s="38"/>
    </row>
    <row r="512" spans="3:4" x14ac:dyDescent="0.25">
      <c r="C512" s="39"/>
      <c r="D512" s="38"/>
    </row>
    <row r="513" spans="3:4" x14ac:dyDescent="0.25">
      <c r="C513" s="39"/>
      <c r="D513" s="38"/>
    </row>
    <row r="514" spans="3:4" x14ac:dyDescent="0.25">
      <c r="C514" s="39"/>
      <c r="D514" s="38"/>
    </row>
    <row r="515" spans="3:4" x14ac:dyDescent="0.25">
      <c r="C515" s="39"/>
      <c r="D515" s="38"/>
    </row>
    <row r="516" spans="3:4" x14ac:dyDescent="0.25">
      <c r="C516" s="39"/>
      <c r="D516" s="38"/>
    </row>
    <row r="517" spans="3:4" x14ac:dyDescent="0.25">
      <c r="C517" s="39"/>
      <c r="D517" s="38"/>
    </row>
    <row r="518" spans="3:4" x14ac:dyDescent="0.25">
      <c r="C518" s="39"/>
      <c r="D518" s="38"/>
    </row>
    <row r="519" spans="3:4" x14ac:dyDescent="0.25">
      <c r="C519" s="39"/>
      <c r="D519" s="38"/>
    </row>
    <row r="520" spans="3:4" x14ac:dyDescent="0.25">
      <c r="C520" s="39"/>
      <c r="D520" s="38"/>
    </row>
    <row r="521" spans="3:4" x14ac:dyDescent="0.25">
      <c r="C521" s="39"/>
      <c r="D521" s="38"/>
    </row>
    <row r="522" spans="3:4" x14ac:dyDescent="0.25">
      <c r="C522" s="39"/>
      <c r="D522" s="38"/>
    </row>
    <row r="523" spans="3:4" x14ac:dyDescent="0.25">
      <c r="C523" s="39"/>
      <c r="D523" s="38"/>
    </row>
    <row r="524" spans="3:4" x14ac:dyDescent="0.25">
      <c r="C524" s="39"/>
      <c r="D524" s="38"/>
    </row>
    <row r="525" spans="3:4" x14ac:dyDescent="0.25">
      <c r="C525" s="39"/>
      <c r="D525" s="38"/>
    </row>
    <row r="526" spans="3:4" x14ac:dyDescent="0.25">
      <c r="C526" s="39"/>
      <c r="D526" s="38"/>
    </row>
    <row r="527" spans="3:4" x14ac:dyDescent="0.25">
      <c r="C527" s="39"/>
      <c r="D527" s="38"/>
    </row>
    <row r="528" spans="3:4" x14ac:dyDescent="0.25">
      <c r="C528" s="39"/>
      <c r="D528" s="38"/>
    </row>
    <row r="529" spans="3:4" x14ac:dyDescent="0.25">
      <c r="C529" s="39"/>
      <c r="D529" s="38"/>
    </row>
    <row r="530" spans="3:4" x14ac:dyDescent="0.25">
      <c r="C530" s="39"/>
      <c r="D530" s="38"/>
    </row>
    <row r="531" spans="3:4" x14ac:dyDescent="0.25">
      <c r="C531" s="39"/>
      <c r="D531" s="38"/>
    </row>
    <row r="532" spans="3:4" x14ac:dyDescent="0.25">
      <c r="C532" s="39"/>
      <c r="D532" s="38"/>
    </row>
    <row r="533" spans="3:4" x14ac:dyDescent="0.25">
      <c r="C533" s="39"/>
      <c r="D533" s="38"/>
    </row>
    <row r="534" spans="3:4" x14ac:dyDescent="0.25">
      <c r="C534" s="39"/>
      <c r="D534" s="38"/>
    </row>
    <row r="535" spans="3:4" x14ac:dyDescent="0.25">
      <c r="C535" s="39"/>
      <c r="D535" s="38"/>
    </row>
    <row r="536" spans="3:4" x14ac:dyDescent="0.25">
      <c r="C536" s="39"/>
      <c r="D536" s="38"/>
    </row>
    <row r="537" spans="3:4" x14ac:dyDescent="0.25">
      <c r="C537" s="39"/>
      <c r="D537" s="38"/>
    </row>
    <row r="538" spans="3:4" x14ac:dyDescent="0.25">
      <c r="C538" s="39"/>
      <c r="D538" s="38"/>
    </row>
    <row r="539" spans="3:4" x14ac:dyDescent="0.25">
      <c r="C539" s="39"/>
      <c r="D539" s="38"/>
    </row>
    <row r="540" spans="3:4" x14ac:dyDescent="0.25">
      <c r="C540" s="39"/>
      <c r="D540" s="38"/>
    </row>
    <row r="541" spans="3:4" x14ac:dyDescent="0.25">
      <c r="C541" s="39"/>
      <c r="D541" s="38"/>
    </row>
    <row r="542" spans="3:4" x14ac:dyDescent="0.25">
      <c r="C542" s="39"/>
      <c r="D542" s="38"/>
    </row>
    <row r="543" spans="3:4" x14ac:dyDescent="0.25">
      <c r="C543" s="39"/>
      <c r="D543" s="38"/>
    </row>
    <row r="544" spans="3:4" x14ac:dyDescent="0.25">
      <c r="C544" s="39"/>
      <c r="D544" s="38"/>
    </row>
    <row r="545" spans="3:4" x14ac:dyDescent="0.25">
      <c r="C545" s="39"/>
      <c r="D545" s="38"/>
    </row>
    <row r="546" spans="3:4" x14ac:dyDescent="0.25">
      <c r="C546" s="39"/>
      <c r="D546" s="38"/>
    </row>
    <row r="547" spans="3:4" x14ac:dyDescent="0.25">
      <c r="C547" s="39"/>
      <c r="D547" s="38"/>
    </row>
    <row r="548" spans="3:4" x14ac:dyDescent="0.25">
      <c r="C548" s="39"/>
      <c r="D548" s="38"/>
    </row>
    <row r="549" spans="3:4" x14ac:dyDescent="0.25">
      <c r="C549" s="39"/>
      <c r="D549" s="38"/>
    </row>
    <row r="550" spans="3:4" x14ac:dyDescent="0.25">
      <c r="C550" s="39"/>
      <c r="D550" s="38"/>
    </row>
    <row r="551" spans="3:4" x14ac:dyDescent="0.25">
      <c r="C551" s="39"/>
      <c r="D551" s="38"/>
    </row>
    <row r="552" spans="3:4" x14ac:dyDescent="0.25">
      <c r="C552" s="39"/>
      <c r="D552" s="38"/>
    </row>
    <row r="553" spans="3:4" x14ac:dyDescent="0.25">
      <c r="C553" s="39"/>
      <c r="D553" s="38"/>
    </row>
    <row r="554" spans="3:4" x14ac:dyDescent="0.25">
      <c r="C554" s="39"/>
      <c r="D554" s="38"/>
    </row>
    <row r="555" spans="3:4" x14ac:dyDescent="0.25">
      <c r="C555" s="39"/>
      <c r="D555" s="38"/>
    </row>
    <row r="556" spans="3:4" x14ac:dyDescent="0.25">
      <c r="C556" s="39"/>
      <c r="D556" s="38"/>
    </row>
    <row r="557" spans="3:4" x14ac:dyDescent="0.25">
      <c r="C557" s="39"/>
      <c r="D557" s="38"/>
    </row>
    <row r="558" spans="3:4" x14ac:dyDescent="0.25">
      <c r="C558" s="39"/>
      <c r="D558" s="38"/>
    </row>
    <row r="559" spans="3:4" x14ac:dyDescent="0.25">
      <c r="C559" s="39"/>
      <c r="D559" s="38"/>
    </row>
    <row r="560" spans="3:4" x14ac:dyDescent="0.25">
      <c r="C560" s="39"/>
      <c r="D560" s="38"/>
    </row>
    <row r="561" spans="3:4" x14ac:dyDescent="0.25">
      <c r="C561" s="39"/>
      <c r="D561" s="38"/>
    </row>
    <row r="562" spans="3:4" x14ac:dyDescent="0.25">
      <c r="C562" s="39"/>
      <c r="D562" s="38"/>
    </row>
    <row r="563" spans="3:4" x14ac:dyDescent="0.25">
      <c r="C563" s="39"/>
      <c r="D563" s="38"/>
    </row>
    <row r="564" spans="3:4" x14ac:dyDescent="0.25">
      <c r="C564" s="39"/>
      <c r="D564" s="38"/>
    </row>
    <row r="565" spans="3:4" x14ac:dyDescent="0.25">
      <c r="C565" s="39"/>
      <c r="D565" s="38"/>
    </row>
    <row r="566" spans="3:4" x14ac:dyDescent="0.25">
      <c r="C566" s="39"/>
      <c r="D566" s="38"/>
    </row>
    <row r="567" spans="3:4" x14ac:dyDescent="0.25">
      <c r="C567" s="39"/>
      <c r="D567" s="38"/>
    </row>
    <row r="568" spans="3:4" x14ac:dyDescent="0.25">
      <c r="C568" s="39"/>
      <c r="D568" s="38"/>
    </row>
    <row r="569" spans="3:4" x14ac:dyDescent="0.25">
      <c r="C569" s="39"/>
      <c r="D569" s="38"/>
    </row>
    <row r="570" spans="3:4" x14ac:dyDescent="0.25">
      <c r="C570" s="39"/>
      <c r="D570" s="38"/>
    </row>
    <row r="571" spans="3:4" x14ac:dyDescent="0.25">
      <c r="C571" s="39"/>
      <c r="D571" s="38"/>
    </row>
    <row r="572" spans="3:4" x14ac:dyDescent="0.25">
      <c r="C572" s="39"/>
      <c r="D572" s="38"/>
    </row>
    <row r="573" spans="3:4" x14ac:dyDescent="0.25">
      <c r="C573" s="39"/>
      <c r="D573" s="38"/>
    </row>
    <row r="574" spans="3:4" x14ac:dyDescent="0.25">
      <c r="C574" s="39"/>
      <c r="D574" s="38"/>
    </row>
    <row r="575" spans="3:4" x14ac:dyDescent="0.25">
      <c r="C575" s="39"/>
      <c r="D575" s="38"/>
    </row>
    <row r="576" spans="3:4" x14ac:dyDescent="0.25">
      <c r="C576" s="39"/>
      <c r="D576" s="38"/>
    </row>
    <row r="577" spans="3:4" x14ac:dyDescent="0.25">
      <c r="C577" s="39"/>
      <c r="D577" s="38"/>
    </row>
    <row r="578" spans="3:4" x14ac:dyDescent="0.25">
      <c r="C578" s="39"/>
      <c r="D578" s="38"/>
    </row>
    <row r="579" spans="3:4" x14ac:dyDescent="0.25">
      <c r="C579" s="39"/>
      <c r="D579" s="38"/>
    </row>
    <row r="580" spans="3:4" x14ac:dyDescent="0.25">
      <c r="C580" s="39"/>
      <c r="D580" s="38"/>
    </row>
    <row r="581" spans="3:4" x14ac:dyDescent="0.25">
      <c r="C581" s="39"/>
      <c r="D581" s="38"/>
    </row>
    <row r="582" spans="3:4" x14ac:dyDescent="0.25">
      <c r="C582" s="39"/>
      <c r="D582" s="38"/>
    </row>
    <row r="583" spans="3:4" x14ac:dyDescent="0.25">
      <c r="C583" s="39"/>
      <c r="D583" s="38"/>
    </row>
    <row r="584" spans="3:4" x14ac:dyDescent="0.25">
      <c r="C584" s="39"/>
      <c r="D584" s="38"/>
    </row>
    <row r="585" spans="3:4" x14ac:dyDescent="0.25">
      <c r="C585" s="39"/>
      <c r="D585" s="38"/>
    </row>
    <row r="586" spans="3:4" x14ac:dyDescent="0.25">
      <c r="C586" s="39"/>
      <c r="D586" s="38"/>
    </row>
    <row r="587" spans="3:4" x14ac:dyDescent="0.25">
      <c r="C587" s="39"/>
      <c r="D587" s="38"/>
    </row>
    <row r="588" spans="3:4" x14ac:dyDescent="0.25">
      <c r="C588" s="39"/>
      <c r="D588" s="38"/>
    </row>
    <row r="589" spans="3:4" x14ac:dyDescent="0.25">
      <c r="C589" s="39"/>
      <c r="D589" s="38"/>
    </row>
    <row r="590" spans="3:4" x14ac:dyDescent="0.25">
      <c r="C590" s="39"/>
      <c r="D590" s="38"/>
    </row>
    <row r="591" spans="3:4" x14ac:dyDescent="0.25">
      <c r="C591" s="39"/>
      <c r="D591" s="38"/>
    </row>
    <row r="592" spans="3:4" x14ac:dyDescent="0.25">
      <c r="C592" s="39"/>
      <c r="D592" s="38"/>
    </row>
    <row r="593" spans="3:4" x14ac:dyDescent="0.25">
      <c r="C593" s="39"/>
      <c r="D593" s="38"/>
    </row>
    <row r="594" spans="3:4" x14ac:dyDescent="0.25">
      <c r="C594" s="39"/>
      <c r="D594" s="38"/>
    </row>
    <row r="595" spans="3:4" x14ac:dyDescent="0.25">
      <c r="C595" s="39"/>
      <c r="D595" s="38"/>
    </row>
    <row r="596" spans="3:4" x14ac:dyDescent="0.25">
      <c r="C596" s="39"/>
      <c r="D596" s="38"/>
    </row>
    <row r="597" spans="3:4" x14ac:dyDescent="0.25">
      <c r="C597" s="39"/>
      <c r="D597" s="38"/>
    </row>
    <row r="598" spans="3:4" x14ac:dyDescent="0.25">
      <c r="C598" s="39"/>
      <c r="D598" s="38"/>
    </row>
    <row r="599" spans="3:4" x14ac:dyDescent="0.25">
      <c r="C599" s="39"/>
      <c r="D599" s="38"/>
    </row>
    <row r="600" spans="3:4" x14ac:dyDescent="0.25">
      <c r="C600" s="39"/>
      <c r="D600" s="38"/>
    </row>
    <row r="601" spans="3:4" x14ac:dyDescent="0.25">
      <c r="C601" s="39"/>
      <c r="D601" s="38"/>
    </row>
    <row r="602" spans="3:4" x14ac:dyDescent="0.25">
      <c r="C602" s="39"/>
      <c r="D602" s="38"/>
    </row>
    <row r="603" spans="3:4" x14ac:dyDescent="0.25">
      <c r="C603" s="39"/>
      <c r="D603" s="38"/>
    </row>
    <row r="604" spans="3:4" x14ac:dyDescent="0.25">
      <c r="C604" s="39"/>
      <c r="D604" s="38"/>
    </row>
    <row r="605" spans="3:4" x14ac:dyDescent="0.25">
      <c r="C605" s="39"/>
      <c r="D605" s="38"/>
    </row>
    <row r="606" spans="3:4" x14ac:dyDescent="0.25">
      <c r="C606" s="39"/>
      <c r="D606" s="38"/>
    </row>
    <row r="607" spans="3:4" x14ac:dyDescent="0.25">
      <c r="C607" s="39"/>
      <c r="D607" s="38"/>
    </row>
    <row r="608" spans="3:4" x14ac:dyDescent="0.25">
      <c r="C608" s="39"/>
      <c r="D608" s="38"/>
    </row>
    <row r="609" spans="3:4" x14ac:dyDescent="0.25">
      <c r="C609" s="39"/>
      <c r="D609" s="38"/>
    </row>
    <row r="610" spans="3:4" x14ac:dyDescent="0.25">
      <c r="C610" s="39"/>
      <c r="D610" s="38"/>
    </row>
    <row r="611" spans="3:4" x14ac:dyDescent="0.25">
      <c r="C611" s="39"/>
      <c r="D611" s="38"/>
    </row>
    <row r="612" spans="3:4" x14ac:dyDescent="0.25">
      <c r="C612" s="39"/>
      <c r="D612" s="38"/>
    </row>
    <row r="613" spans="3:4" x14ac:dyDescent="0.25">
      <c r="C613" s="39"/>
      <c r="D613" s="38"/>
    </row>
    <row r="614" spans="3:4" x14ac:dyDescent="0.25">
      <c r="C614" s="39"/>
      <c r="D614" s="38"/>
    </row>
    <row r="615" spans="3:4" x14ac:dyDescent="0.25">
      <c r="C615" s="39"/>
      <c r="D615" s="38"/>
    </row>
    <row r="616" spans="3:4" x14ac:dyDescent="0.25">
      <c r="C616" s="39"/>
      <c r="D616" s="38"/>
    </row>
    <row r="617" spans="3:4" x14ac:dyDescent="0.25">
      <c r="C617" s="39"/>
      <c r="D617" s="38"/>
    </row>
    <row r="618" spans="3:4" x14ac:dyDescent="0.25">
      <c r="C618" s="39"/>
      <c r="D618" s="38"/>
    </row>
    <row r="619" spans="3:4" x14ac:dyDescent="0.25">
      <c r="C619" s="39"/>
      <c r="D619" s="38"/>
    </row>
    <row r="620" spans="3:4" x14ac:dyDescent="0.25">
      <c r="C620" s="39"/>
      <c r="D620" s="38"/>
    </row>
    <row r="621" spans="3:4" x14ac:dyDescent="0.25">
      <c r="C621" s="39"/>
      <c r="D621" s="38"/>
    </row>
    <row r="622" spans="3:4" x14ac:dyDescent="0.25">
      <c r="C622" s="39"/>
      <c r="D622" s="38"/>
    </row>
    <row r="623" spans="3:4" x14ac:dyDescent="0.25">
      <c r="C623" s="39"/>
      <c r="D623" s="38"/>
    </row>
    <row r="624" spans="3:4" x14ac:dyDescent="0.25">
      <c r="C624" s="39"/>
      <c r="D624" s="38"/>
    </row>
    <row r="625" spans="3:4" x14ac:dyDescent="0.25">
      <c r="C625" s="39"/>
      <c r="D625" s="38"/>
    </row>
    <row r="626" spans="3:4" x14ac:dyDescent="0.25">
      <c r="C626" s="39"/>
      <c r="D626" s="38"/>
    </row>
    <row r="627" spans="3:4" x14ac:dyDescent="0.25">
      <c r="C627" s="39"/>
      <c r="D627" s="38"/>
    </row>
    <row r="628" spans="3:4" x14ac:dyDescent="0.25">
      <c r="C628" s="39"/>
      <c r="D628" s="38"/>
    </row>
    <row r="629" spans="3:4" x14ac:dyDescent="0.25">
      <c r="C629" s="39"/>
      <c r="D629" s="38"/>
    </row>
    <row r="630" spans="3:4" x14ac:dyDescent="0.25">
      <c r="C630" s="39"/>
      <c r="D630" s="38"/>
    </row>
    <row r="631" spans="3:4" x14ac:dyDescent="0.25">
      <c r="C631" s="39"/>
      <c r="D631" s="38"/>
    </row>
    <row r="632" spans="3:4" x14ac:dyDescent="0.25">
      <c r="C632" s="39"/>
      <c r="D632" s="38"/>
    </row>
    <row r="633" spans="3:4" x14ac:dyDescent="0.25">
      <c r="C633" s="39"/>
      <c r="D633" s="38"/>
    </row>
    <row r="634" spans="3:4" x14ac:dyDescent="0.25">
      <c r="C634" s="39"/>
      <c r="D634" s="38"/>
    </row>
    <row r="635" spans="3:4" x14ac:dyDescent="0.25">
      <c r="C635" s="39"/>
      <c r="D635" s="38"/>
    </row>
    <row r="636" spans="3:4" x14ac:dyDescent="0.25">
      <c r="C636" s="39"/>
      <c r="D636" s="38"/>
    </row>
    <row r="637" spans="3:4" x14ac:dyDescent="0.25">
      <c r="C637" s="39"/>
      <c r="D637" s="38"/>
    </row>
    <row r="638" spans="3:4" x14ac:dyDescent="0.25">
      <c r="C638" s="39"/>
      <c r="D638" s="38"/>
    </row>
    <row r="639" spans="3:4" x14ac:dyDescent="0.25">
      <c r="C639" s="39"/>
      <c r="D639" s="38"/>
    </row>
    <row r="640" spans="3:4" x14ac:dyDescent="0.25">
      <c r="C640" s="39"/>
      <c r="D640" s="38"/>
    </row>
    <row r="641" spans="3:4" x14ac:dyDescent="0.25">
      <c r="C641" s="39"/>
      <c r="D641" s="38"/>
    </row>
    <row r="642" spans="3:4" x14ac:dyDescent="0.25">
      <c r="C642" s="39"/>
      <c r="D642" s="38"/>
    </row>
    <row r="643" spans="3:4" x14ac:dyDescent="0.25">
      <c r="C643" s="39"/>
      <c r="D643" s="38"/>
    </row>
    <row r="644" spans="3:4" x14ac:dyDescent="0.25">
      <c r="C644" s="39"/>
      <c r="D644" s="38"/>
    </row>
    <row r="645" spans="3:4" x14ac:dyDescent="0.25">
      <c r="C645" s="39"/>
      <c r="D645" s="38"/>
    </row>
    <row r="646" spans="3:4" x14ac:dyDescent="0.25">
      <c r="C646" s="39"/>
      <c r="D646" s="38"/>
    </row>
    <row r="647" spans="3:4" x14ac:dyDescent="0.25">
      <c r="C647" s="39"/>
      <c r="D647" s="38"/>
    </row>
    <row r="648" spans="3:4" x14ac:dyDescent="0.25">
      <c r="C648" s="39"/>
      <c r="D648" s="38"/>
    </row>
    <row r="649" spans="3:4" x14ac:dyDescent="0.25">
      <c r="C649" s="39"/>
      <c r="D649" s="38"/>
    </row>
    <row r="650" spans="3:4" x14ac:dyDescent="0.25">
      <c r="C650" s="39"/>
      <c r="D650" s="38"/>
    </row>
    <row r="651" spans="3:4" x14ac:dyDescent="0.25">
      <c r="C651" s="39"/>
      <c r="D651" s="38"/>
    </row>
    <row r="652" spans="3:4" x14ac:dyDescent="0.25">
      <c r="C652" s="39"/>
      <c r="D652" s="38"/>
    </row>
    <row r="653" spans="3:4" x14ac:dyDescent="0.25">
      <c r="C653" s="39"/>
      <c r="D653" s="38"/>
    </row>
    <row r="654" spans="3:4" x14ac:dyDescent="0.25">
      <c r="C654" s="39"/>
      <c r="D654" s="38"/>
    </row>
    <row r="655" spans="3:4" x14ac:dyDescent="0.25">
      <c r="C655" s="39"/>
      <c r="D655" s="38"/>
    </row>
    <row r="656" spans="3:4" x14ac:dyDescent="0.25">
      <c r="C656" s="39"/>
      <c r="D656" s="38"/>
    </row>
    <row r="657" spans="3:4" x14ac:dyDescent="0.25">
      <c r="C657" s="39"/>
      <c r="D657" s="38"/>
    </row>
    <row r="658" spans="3:4" x14ac:dyDescent="0.25">
      <c r="C658" s="39"/>
      <c r="D658" s="38"/>
    </row>
    <row r="659" spans="3:4" x14ac:dyDescent="0.25">
      <c r="C659" s="39"/>
      <c r="D659" s="38"/>
    </row>
    <row r="660" spans="3:4" x14ac:dyDescent="0.25">
      <c r="C660" s="39"/>
      <c r="D660" s="38"/>
    </row>
    <row r="661" spans="3:4" x14ac:dyDescent="0.25">
      <c r="C661" s="39"/>
      <c r="D661" s="38"/>
    </row>
    <row r="662" spans="3:4" x14ac:dyDescent="0.25">
      <c r="C662" s="39"/>
      <c r="D662" s="38"/>
    </row>
    <row r="663" spans="3:4" x14ac:dyDescent="0.25">
      <c r="C663" s="39"/>
      <c r="D663" s="38"/>
    </row>
    <row r="664" spans="3:4" x14ac:dyDescent="0.25">
      <c r="C664" s="39"/>
      <c r="D664" s="38"/>
    </row>
    <row r="665" spans="3:4" x14ac:dyDescent="0.25">
      <c r="C665" s="39"/>
      <c r="D665" s="38"/>
    </row>
    <row r="666" spans="3:4" x14ac:dyDescent="0.25">
      <c r="C666" s="39"/>
      <c r="D666" s="38"/>
    </row>
    <row r="667" spans="3:4" x14ac:dyDescent="0.25">
      <c r="C667" s="39"/>
      <c r="D667" s="38"/>
    </row>
    <row r="668" spans="3:4" x14ac:dyDescent="0.25">
      <c r="C668" s="39"/>
      <c r="D668" s="38"/>
    </row>
    <row r="669" spans="3:4" x14ac:dyDescent="0.25">
      <c r="C669" s="39"/>
      <c r="D669" s="38"/>
    </row>
    <row r="670" spans="3:4" x14ac:dyDescent="0.25">
      <c r="C670" s="39"/>
      <c r="D670" s="38"/>
    </row>
    <row r="671" spans="3:4" x14ac:dyDescent="0.25">
      <c r="C671" s="39"/>
      <c r="D671" s="38"/>
    </row>
    <row r="672" spans="3:4" x14ac:dyDescent="0.25">
      <c r="C672" s="39"/>
      <c r="D672" s="38"/>
    </row>
    <row r="673" spans="3:4" x14ac:dyDescent="0.25">
      <c r="C673" s="39"/>
      <c r="D673" s="38"/>
    </row>
    <row r="674" spans="3:4" x14ac:dyDescent="0.25">
      <c r="C674" s="39"/>
      <c r="D674" s="38"/>
    </row>
    <row r="675" spans="3:4" x14ac:dyDescent="0.25">
      <c r="C675" s="39"/>
      <c r="D675" s="38"/>
    </row>
    <row r="676" spans="3:4" x14ac:dyDescent="0.25">
      <c r="C676" s="39"/>
      <c r="D676" s="38"/>
    </row>
    <row r="677" spans="3:4" x14ac:dyDescent="0.25">
      <c r="C677" s="39"/>
      <c r="D677" s="38"/>
    </row>
    <row r="678" spans="3:4" x14ac:dyDescent="0.25">
      <c r="C678" s="39"/>
      <c r="D678" s="38"/>
    </row>
    <row r="679" spans="3:4" x14ac:dyDescent="0.25">
      <c r="C679" s="39"/>
      <c r="D679" s="38"/>
    </row>
    <row r="680" spans="3:4" x14ac:dyDescent="0.25">
      <c r="C680" s="39"/>
      <c r="D680" s="38"/>
    </row>
    <row r="681" spans="3:4" x14ac:dyDescent="0.25">
      <c r="C681" s="39"/>
      <c r="D681" s="38"/>
    </row>
    <row r="682" spans="3:4" x14ac:dyDescent="0.25">
      <c r="C682" s="39"/>
      <c r="D682" s="38"/>
    </row>
    <row r="683" spans="3:4" x14ac:dyDescent="0.25">
      <c r="C683" s="39"/>
      <c r="D683" s="38"/>
    </row>
    <row r="684" spans="3:4" x14ac:dyDescent="0.25">
      <c r="C684" s="39"/>
      <c r="D684" s="38"/>
    </row>
    <row r="685" spans="3:4" x14ac:dyDescent="0.25">
      <c r="C685" s="39"/>
      <c r="D685" s="38"/>
    </row>
    <row r="686" spans="3:4" x14ac:dyDescent="0.25">
      <c r="C686" s="39"/>
      <c r="D686" s="38"/>
    </row>
    <row r="687" spans="3:4" x14ac:dyDescent="0.25">
      <c r="C687" s="39"/>
      <c r="D687" s="38"/>
    </row>
    <row r="688" spans="3:4" x14ac:dyDescent="0.25">
      <c r="C688" s="39"/>
      <c r="D688" s="38"/>
    </row>
    <row r="689" spans="3:4" x14ac:dyDescent="0.25">
      <c r="C689" s="39"/>
      <c r="D689" s="38"/>
    </row>
    <row r="690" spans="3:4" x14ac:dyDescent="0.25">
      <c r="C690" s="39"/>
      <c r="D690" s="38"/>
    </row>
    <row r="691" spans="3:4" x14ac:dyDescent="0.25">
      <c r="C691" s="39"/>
      <c r="D691" s="38"/>
    </row>
    <row r="692" spans="3:4" x14ac:dyDescent="0.25">
      <c r="C692" s="39"/>
      <c r="D692" s="38"/>
    </row>
    <row r="693" spans="3:4" x14ac:dyDescent="0.25">
      <c r="C693" s="39"/>
      <c r="D693" s="38"/>
    </row>
    <row r="694" spans="3:4" x14ac:dyDescent="0.25">
      <c r="C694" s="39"/>
      <c r="D694" s="38"/>
    </row>
    <row r="695" spans="3:4" x14ac:dyDescent="0.25">
      <c r="C695" s="39"/>
      <c r="D695" s="38"/>
    </row>
    <row r="696" spans="3:4" x14ac:dyDescent="0.25">
      <c r="C696" s="39"/>
      <c r="D696" s="38"/>
    </row>
    <row r="697" spans="3:4" x14ac:dyDescent="0.25">
      <c r="C697" s="39"/>
      <c r="D697" s="38"/>
    </row>
    <row r="698" spans="3:4" x14ac:dyDescent="0.25">
      <c r="C698" s="39"/>
      <c r="D698" s="38"/>
    </row>
    <row r="699" spans="3:4" x14ac:dyDescent="0.25">
      <c r="C699" s="39"/>
      <c r="D699" s="38"/>
    </row>
    <row r="700" spans="3:4" x14ac:dyDescent="0.25">
      <c r="C700" s="39"/>
      <c r="D700" s="38"/>
    </row>
    <row r="701" spans="3:4" x14ac:dyDescent="0.25">
      <c r="C701" s="39"/>
      <c r="D701" s="38"/>
    </row>
    <row r="702" spans="3:4" x14ac:dyDescent="0.25">
      <c r="C702" s="39"/>
      <c r="D702" s="38"/>
    </row>
    <row r="703" spans="3:4" x14ac:dyDescent="0.25">
      <c r="C703" s="39"/>
      <c r="D703" s="38"/>
    </row>
    <row r="704" spans="3:4" x14ac:dyDescent="0.25">
      <c r="C704" s="39"/>
      <c r="D704" s="38"/>
    </row>
    <row r="705" spans="3:4" x14ac:dyDescent="0.25">
      <c r="C705" s="39"/>
      <c r="D705" s="38"/>
    </row>
    <row r="706" spans="3:4" x14ac:dyDescent="0.25">
      <c r="C706" s="39"/>
      <c r="D706" s="38"/>
    </row>
    <row r="707" spans="3:4" x14ac:dyDescent="0.25">
      <c r="C707" s="39"/>
      <c r="D707" s="38"/>
    </row>
    <row r="708" spans="3:4" x14ac:dyDescent="0.25">
      <c r="C708" s="39"/>
      <c r="D708" s="38"/>
    </row>
    <row r="709" spans="3:4" x14ac:dyDescent="0.25">
      <c r="C709" s="39"/>
      <c r="D709" s="38"/>
    </row>
    <row r="710" spans="3:4" x14ac:dyDescent="0.25">
      <c r="C710" s="39"/>
      <c r="D710" s="38"/>
    </row>
    <row r="711" spans="3:4" x14ac:dyDescent="0.25">
      <c r="C711" s="39"/>
      <c r="D711" s="38"/>
    </row>
    <row r="712" spans="3:4" x14ac:dyDescent="0.25">
      <c r="C712" s="39"/>
      <c r="D712" s="38"/>
    </row>
    <row r="713" spans="3:4" x14ac:dyDescent="0.25">
      <c r="C713" s="39"/>
      <c r="D713" s="38"/>
    </row>
    <row r="714" spans="3:4" x14ac:dyDescent="0.25">
      <c r="C714" s="39"/>
      <c r="D714" s="38"/>
    </row>
    <row r="715" spans="3:4" x14ac:dyDescent="0.25">
      <c r="C715" s="39"/>
      <c r="D715" s="38"/>
    </row>
    <row r="716" spans="3:4" x14ac:dyDescent="0.25">
      <c r="C716" s="39"/>
      <c r="D716" s="38"/>
    </row>
    <row r="717" spans="3:4" x14ac:dyDescent="0.25">
      <c r="C717" s="39"/>
      <c r="D717" s="38"/>
    </row>
    <row r="718" spans="3:4" x14ac:dyDescent="0.25">
      <c r="C718" s="39"/>
      <c r="D718" s="38"/>
    </row>
    <row r="719" spans="3:4" x14ac:dyDescent="0.25">
      <c r="C719" s="39"/>
      <c r="D719" s="38"/>
    </row>
    <row r="720" spans="3:4" x14ac:dyDescent="0.25">
      <c r="C720" s="39"/>
      <c r="D720" s="38"/>
    </row>
    <row r="721" spans="3:4" x14ac:dyDescent="0.25">
      <c r="C721" s="39"/>
      <c r="D721" s="38"/>
    </row>
    <row r="722" spans="3:4" x14ac:dyDescent="0.25">
      <c r="C722" s="39"/>
      <c r="D722" s="38"/>
    </row>
    <row r="723" spans="3:4" x14ac:dyDescent="0.25">
      <c r="C723" s="39"/>
      <c r="D723" s="38"/>
    </row>
    <row r="724" spans="3:4" x14ac:dyDescent="0.25">
      <c r="C724" s="39"/>
      <c r="D724" s="38"/>
    </row>
    <row r="725" spans="3:4" x14ac:dyDescent="0.25">
      <c r="C725" s="39"/>
      <c r="D725" s="38"/>
    </row>
    <row r="726" spans="3:4" x14ac:dyDescent="0.25">
      <c r="C726" s="39"/>
      <c r="D726" s="38"/>
    </row>
    <row r="727" spans="3:4" x14ac:dyDescent="0.25">
      <c r="C727" s="39"/>
      <c r="D727" s="38"/>
    </row>
    <row r="728" spans="3:4" x14ac:dyDescent="0.25">
      <c r="C728" s="39"/>
      <c r="D728" s="38"/>
    </row>
    <row r="729" spans="3:4" x14ac:dyDescent="0.25">
      <c r="C729" s="39"/>
      <c r="D729" s="38"/>
    </row>
    <row r="730" spans="3:4" x14ac:dyDescent="0.25">
      <c r="C730" s="39"/>
      <c r="D730" s="38"/>
    </row>
    <row r="731" spans="3:4" x14ac:dyDescent="0.25">
      <c r="C731" s="39"/>
      <c r="D731" s="38"/>
    </row>
    <row r="732" spans="3:4" x14ac:dyDescent="0.25">
      <c r="C732" s="39"/>
      <c r="D732" s="38"/>
    </row>
    <row r="733" spans="3:4" x14ac:dyDescent="0.25">
      <c r="C733" s="39"/>
      <c r="D733" s="38"/>
    </row>
    <row r="734" spans="3:4" x14ac:dyDescent="0.25">
      <c r="C734" s="39"/>
      <c r="D734" s="38"/>
    </row>
    <row r="735" spans="3:4" x14ac:dyDescent="0.25">
      <c r="C735" s="39"/>
      <c r="D735" s="38"/>
    </row>
    <row r="736" spans="3:4" x14ac:dyDescent="0.25">
      <c r="C736" s="39"/>
      <c r="D736" s="38"/>
    </row>
    <row r="737" spans="3:4" x14ac:dyDescent="0.25">
      <c r="C737" s="39"/>
      <c r="D737" s="38"/>
    </row>
    <row r="738" spans="3:4" x14ac:dyDescent="0.25">
      <c r="C738" s="39"/>
      <c r="D738" s="38"/>
    </row>
    <row r="739" spans="3:4" x14ac:dyDescent="0.25">
      <c r="C739" s="39"/>
      <c r="D739" s="38"/>
    </row>
    <row r="740" spans="3:4" x14ac:dyDescent="0.25">
      <c r="C740" s="39"/>
      <c r="D740" s="38"/>
    </row>
    <row r="741" spans="3:4" x14ac:dyDescent="0.25">
      <c r="C741" s="39"/>
      <c r="D741" s="38"/>
    </row>
    <row r="742" spans="3:4" x14ac:dyDescent="0.25">
      <c r="C742" s="39"/>
      <c r="D742" s="38"/>
    </row>
    <row r="743" spans="3:4" x14ac:dyDescent="0.25">
      <c r="C743" s="39"/>
    </row>
    <row r="744" spans="3:4" x14ac:dyDescent="0.25">
      <c r="C744" s="39"/>
    </row>
    <row r="745" spans="3:4" x14ac:dyDescent="0.25">
      <c r="C745" s="39"/>
    </row>
    <row r="746" spans="3:4" x14ac:dyDescent="0.25">
      <c r="C746" s="39"/>
    </row>
    <row r="747" spans="3:4" x14ac:dyDescent="0.25">
      <c r="C747" s="39"/>
    </row>
    <row r="748" spans="3:4" x14ac:dyDescent="0.25">
      <c r="C748" s="39"/>
    </row>
  </sheetData>
  <autoFilter ref="A1:I234"/>
  <sortState ref="F2:F35">
    <sortCondition ref="F35"/>
  </sortState>
  <conditionalFormatting sqref="C2:C4 C6:C233">
    <cfRule type="duplicateValues" dxfId="0" priority="4"/>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K2"/>
  <sheetViews>
    <sheetView workbookViewId="0">
      <selection activeCell="I10" sqref="I10"/>
    </sheetView>
  </sheetViews>
  <sheetFormatPr baseColWidth="10" defaultColWidth="10" defaultRowHeight="12.75" x14ac:dyDescent="0.25"/>
  <cols>
    <col min="1" max="1" width="11.42578125" style="23" bestFit="1" customWidth="1"/>
    <col min="2" max="2" width="15.140625" style="23" customWidth="1"/>
    <col min="3" max="3" width="13.140625" style="23" customWidth="1"/>
    <col min="4" max="4" width="14.140625" style="23" customWidth="1"/>
    <col min="5" max="5" width="19.28515625" style="23" customWidth="1"/>
    <col min="6" max="6" width="11.7109375" style="23" bestFit="1" customWidth="1"/>
    <col min="7" max="7" width="15.5703125" style="23" bestFit="1" customWidth="1"/>
    <col min="8" max="8" width="20.85546875" style="23" bestFit="1" customWidth="1"/>
    <col min="9" max="9" width="38.140625" style="23" bestFit="1" customWidth="1"/>
    <col min="10" max="10" width="22.42578125" style="23" customWidth="1"/>
    <col min="11" max="11" width="39.85546875" style="23" customWidth="1"/>
    <col min="12" max="16384" width="10" style="23"/>
  </cols>
  <sheetData>
    <row r="1" spans="1:11" ht="38.25" x14ac:dyDescent="0.25">
      <c r="A1" s="34" t="s">
        <v>28</v>
      </c>
      <c r="B1" s="34" t="s">
        <v>62</v>
      </c>
      <c r="C1" s="34" t="s">
        <v>63</v>
      </c>
      <c r="D1" s="34" t="s">
        <v>67</v>
      </c>
      <c r="E1" s="34" t="s">
        <v>68</v>
      </c>
      <c r="F1" s="34" t="s">
        <v>71</v>
      </c>
      <c r="G1" s="34" t="s">
        <v>295</v>
      </c>
      <c r="H1" s="34" t="s">
        <v>297</v>
      </c>
      <c r="I1" s="34" t="s">
        <v>299</v>
      </c>
      <c r="J1" s="34" t="s">
        <v>295</v>
      </c>
      <c r="K1" s="34" t="s">
        <v>323</v>
      </c>
    </row>
    <row r="2" spans="1:11" ht="25.5" x14ac:dyDescent="0.25">
      <c r="A2" s="22" t="s">
        <v>70</v>
      </c>
      <c r="B2" s="33" t="s">
        <v>66</v>
      </c>
      <c r="C2" s="33" t="s">
        <v>64</v>
      </c>
      <c r="D2" s="22" t="s">
        <v>65</v>
      </c>
      <c r="E2" s="22" t="s">
        <v>69</v>
      </c>
      <c r="F2" s="22" t="s">
        <v>70</v>
      </c>
      <c r="G2" s="23" t="s">
        <v>296</v>
      </c>
      <c r="H2" s="23" t="s">
        <v>298</v>
      </c>
      <c r="I2" s="23" t="s">
        <v>619</v>
      </c>
      <c r="K2" s="32"/>
    </row>
  </sheetData>
  <hyperlinks>
    <hyperlink ref="I2" r:id="rId1"/>
  </hyperlinks>
  <pageMargins left="0.7" right="0.7" top="0.75" bottom="0.75" header="0.3" footer="0.3"/>
  <pageSetup paperSize="9"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49</vt:i4>
      </vt:variant>
    </vt:vector>
  </HeadingPairs>
  <TitlesOfParts>
    <vt:vector size="54" baseType="lpstr">
      <vt:lpstr>Solicitud de trámite</vt:lpstr>
      <vt:lpstr>Estudio previo</vt:lpstr>
      <vt:lpstr>Consulta de precios</vt:lpstr>
      <vt:lpstr>Parámetros</vt:lpstr>
      <vt:lpstr>Desarrollador</vt:lpstr>
      <vt:lpstr>ADMINISTRACIÓN</vt:lpstr>
      <vt:lpstr>ALIMENTACIÓN_Y_NUTRICIÓN_HUMANA</vt:lpstr>
      <vt:lpstr>'Consulta de precios'!Área_de_impresión</vt:lpstr>
      <vt:lpstr>'Estudio previo'!Área_de_impresión</vt:lpstr>
      <vt:lpstr>'Solicitud de trámite'!Área_de_impresión</vt:lpstr>
      <vt:lpstr>BIOTECNOLOGÍA</vt:lpstr>
      <vt:lpstr>CATÁLISIS_AMBIENTAL</vt:lpstr>
      <vt:lpstr>CATALIZADORES_Y_ABSORBENTES</vt:lpstr>
      <vt:lpstr>CEDAIT</vt:lpstr>
      <vt:lpstr>CIDEMAT</vt:lpstr>
      <vt:lpstr>CIENCIA_DE_LOS_MATERIALES</vt:lpstr>
      <vt:lpstr>CITOMETRÍA</vt:lpstr>
      <vt:lpstr>DIAGNÓSTICO_Y_CONTROL_DE_LA_CONTAMINACIÓN</vt:lpstr>
      <vt:lpstr>DIDÁCTICA_Y_NUEVAS_TECNOLOGÍAS</vt:lpstr>
      <vt:lpstr>DIRECCIÓN_DE_POSGRADOS</vt:lpstr>
      <vt:lpstr>EPIDEMIOLOGÍA</vt:lpstr>
      <vt:lpstr>ESTADO_SÓLIDO</vt:lpstr>
      <vt:lpstr>FÍSICA_ATÓMICA</vt:lpstr>
      <vt:lpstr>GAIA</vt:lpstr>
      <vt:lpstr>GASTROHEPATOLOGÍA</vt:lpstr>
      <vt:lpstr>GASURE</vt:lpstr>
      <vt:lpstr>GENÉTICA_MOLECULAR</vt:lpstr>
      <vt:lpstr>GENÉTICA_REGENERACIÓN_Y_CÁNCER</vt:lpstr>
      <vt:lpstr>GENÉTICA_Y_BIOQUÍMICA_DE_MICROORGANISMOS</vt:lpstr>
      <vt:lpstr>GIMEL</vt:lpstr>
      <vt:lpstr>GMMT</vt:lpstr>
      <vt:lpstr>GRID</vt:lpstr>
      <vt:lpstr>Grupo_de_Bioquímica_Estructural_de_Macromoléculas</vt:lpstr>
      <vt:lpstr>Grupos</vt:lpstr>
      <vt:lpstr>HISTORIA_DE_LA_PRÁCTICA_PEDAGÓGICA_EN_COLOMBIA</vt:lpstr>
      <vt:lpstr>INMUNODEFICIENCIAS_PRIMARIAS</vt:lpstr>
      <vt:lpstr>INMUNOVIROLOGÍA</vt:lpstr>
      <vt:lpstr>MALARIA</vt:lpstr>
      <vt:lpstr>MAX_PLANCK</vt:lpstr>
      <vt:lpstr>MEDIO_AMBIENTE_Y_SOCIEDAD</vt:lpstr>
      <vt:lpstr>NEUROCIENCIAS</vt:lpstr>
      <vt:lpstr>OPTICA</vt:lpstr>
      <vt:lpstr>PECET</vt:lpstr>
      <vt:lpstr>PHYSIS</vt:lpstr>
      <vt:lpstr>PROCESOS_FISICOQUIMICOS_APLICADOS</vt:lpstr>
      <vt:lpstr>PROCESOS_QUIMICOS_INDUSTRIALES</vt:lpstr>
      <vt:lpstr>QUÍMICA_DE_RECURSOS_ENERGÉTICOS</vt:lpstr>
      <vt:lpstr>QUÍMICA_ORGÁNICA_DE_PRODUCTOS_NATURALES</vt:lpstr>
      <vt:lpstr>REHABILITACIÓN_EN_SALUD</vt:lpstr>
      <vt:lpstr>Remediación_Ambiental_y_Biocatálisis</vt:lpstr>
      <vt:lpstr>REPRODUCCIÓN</vt:lpstr>
      <vt:lpstr>SÉNECA</vt:lpstr>
      <vt:lpstr>SUSTANCIAS_BIOACTIVAS</vt:lpstr>
      <vt:lpstr>Toxinología_Alternativas_Terapéuticas_y_Alimentarias</vt:lpstr>
    </vt:vector>
  </TitlesOfParts>
  <Company>SIU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ALBERTO CORREA JARAMILLO</dc:creator>
  <cp:lastModifiedBy>Jorge A. Correa</cp:lastModifiedBy>
  <cp:lastPrinted>2020-10-23T23:08:04Z</cp:lastPrinted>
  <dcterms:created xsi:type="dcterms:W3CDTF">2020-01-29T20:07:57Z</dcterms:created>
  <dcterms:modified xsi:type="dcterms:W3CDTF">2022-02-02T15:37:48Z</dcterms:modified>
</cp:coreProperties>
</file>