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28680" yWindow="-120" windowWidth="29040" windowHeight="15990"/>
  </bookViews>
  <sheets>
    <sheet name="Solicitud de trámite" sheetId="2" r:id="rId1"/>
    <sheet name="Estudio previo" sheetId="3" state="hidden" r:id="rId2"/>
    <sheet name="Consulta de precios" sheetId="4" state="hidden" r:id="rId3"/>
    <sheet name="Parámetros" sheetId="1" state="hidden" r:id="rId4"/>
    <sheet name="Desarrollador" sheetId="5" state="hidden" r:id="rId5"/>
  </sheets>
  <functionGroups builtInGroupCount="18"/>
  <definedNames>
    <definedName name="_xlnm._FilterDatabase" localSheetId="3" hidden="1">Parámetros!$A$1:$I$233</definedName>
    <definedName name="ADMINISTRACIÓN">Parámetros!$C$2</definedName>
    <definedName name="ALIMENTACIÓN_Y_NUTRICIÓN_HUMANA">Parámetros!$C$3:$C$5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Parámetros!$C$6:$C$11</definedName>
    <definedName name="CATÁLISIS_AMBIENTAL">Parámetros!$C$12:$C$18</definedName>
    <definedName name="CATALIZADORES_Y_ABSORBENTES">Parámetros!$C$19:$C$20</definedName>
    <definedName name="CEDAIT">Parámetros!$C$21:$C$29</definedName>
    <definedName name="CIDEMAT">Parámetros!$C$30:$C$47</definedName>
    <definedName name="CIENCIA_DE_LOS_MATERIALES">Parámetros!$C$48:$C$56</definedName>
    <definedName name="CITOMETRÍA">Parámetros!$C$57</definedName>
    <definedName name="DIAGNÓSTICO_Y_CONTROL_DE_LA_CONTAMINACIÓN">Parámetros!$C$58:$C$68</definedName>
    <definedName name="DIDÁCTICA_Y_NUEVAS_TECNOLOGÍAS">Parámetros!$C$69:$C$70</definedName>
    <definedName name="DIRECCIÓN_DE_POSGRADOS">Parámetros!$C$71</definedName>
    <definedName name="EPIDEMIOLOGÍA">Parámetros!$C$72</definedName>
    <definedName name="ESTADO_SÓLIDO">Parámetros!$C$73:$C$78</definedName>
    <definedName name="FÍSICA_ATÓMICA">Parámetros!$C$79:$C$81</definedName>
    <definedName name="GAIA">Parámetros!$C$82:$C$83</definedName>
    <definedName name="GASTROHEPATOLOGÍA">Parámetros!$C$84:$C$87</definedName>
    <definedName name="GASURE">Parámetros!$C$88</definedName>
    <definedName name="GENÉTICA_MOLECULAR">Parámetros!$C$89:$C$94</definedName>
    <definedName name="GENÉTICA_REGENERACIÓN_Y_CÁNCER">Parámetros!$C$95:$C$96</definedName>
    <definedName name="GENÉTICA_Y_BIOQUÍMICA_DE_MICROORGANISMOS">Parámetros!$C$97</definedName>
    <definedName name="GIMEL">Parámetros!$C$98:$C$99</definedName>
    <definedName name="GMMT">Parámetros!$C$100:$C$101</definedName>
    <definedName name="GRID">Parámetros!$C$102</definedName>
    <definedName name="Grupo_de_Bioquímica_Estructural_de_Macromoléculas">Parámetros!$C$103</definedName>
    <definedName name="Grupos">Parámetros!$A$2:$A$58</definedName>
    <definedName name="HISTORIA_DE_LA_PRÁCTICA_PEDAGÓGICA_EN_COLOMBIA">Parámetros!$C$104</definedName>
    <definedName name="INMUNODEFICIENCIAS_PRIMARIAS">Parámetros!$C$105:$C$109</definedName>
    <definedName name="INMUNOVIROLOGÍA">Parámetros!$C$110:$C$123</definedName>
    <definedName name="MALARIA">Parámetros!$C$124:$C$128</definedName>
    <definedName name="MAX_PLANCK">Parámetros!$C$129:$C$137</definedName>
    <definedName name="MEDIO_AMBIENTE_Y_SOCIEDAD">Parámetros!$C$138:$C$140</definedName>
    <definedName name="NEUROCIENCIAS">Parámetros!$C$141:$C$155</definedName>
    <definedName name="OPTICA">Parámetros!$C$156:$C$160</definedName>
    <definedName name="PECET">Parámetros!$C$161:$C$179</definedName>
    <definedName name="PHYSIS">Parámetros!$C$180:$C$181</definedName>
    <definedName name="PROCESOS_FISICOQUIMICOS_APLICADOS">Parámetros!$C$182:$C$184</definedName>
    <definedName name="PROCESOS_QUIMICOS_INDUSTRIALES">Parámetros!$C$185:$C$191</definedName>
    <definedName name="QUÍMICA_DE_RECURSOS_ENERGÉTICOS">Parámetros!$C$192:$C$199</definedName>
    <definedName name="QUÍMICA_ORGÁNICA_DE_PRODUCTOS_NATURALES">Parámetros!$C$200:$C$207</definedName>
    <definedName name="REHABILITACIÓN_EN_SALUD">Parámetros!$C$208:$C$209</definedName>
    <definedName name="Remediación_Ambiental_y_Biocatálisis">Parámetros!$C$210:$C$212</definedName>
    <definedName name="REPRODUCCIÓN">Parámetros!$C$213:$C$216</definedName>
    <definedName name="SÉNECA">Parámetros!$C$217:$C$232</definedName>
    <definedName name="SUSTANCIAS_BIOACTIVAS">Parámetros!$C$233:$C$234</definedName>
    <definedName name="Toxinología_Alternativas_Terapéuticas_y_Alimentarias">Parámetros!$C$235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2" l="1"/>
  <c r="C14" i="2"/>
  <c r="I29" i="4" l="1"/>
  <c r="K41" i="2"/>
  <c r="G9" i="2" l="1"/>
</calcChain>
</file>

<file path=xl/sharedStrings.xml><?xml version="1.0" encoding="utf-8"?>
<sst xmlns="http://schemas.openxmlformats.org/spreadsheetml/2006/main" count="1160" uniqueCount="886">
  <si>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</si>
  <si>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</si>
  <si>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</si>
  <si>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</si>
  <si>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</si>
  <si>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</si>
  <si>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</si>
  <si>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</si>
  <si>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EPIDEMIOLOGÍA</t>
  </si>
  <si>
    <t>GASTROHEPATOLOGÍA</t>
  </si>
  <si>
    <t>GICIG</t>
  </si>
  <si>
    <t>INMUNOVIROLOGÍA</t>
  </si>
  <si>
    <t>MALARIA</t>
  </si>
  <si>
    <t>NEUROCIENCIAS</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</si>
  <si>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</si>
  <si>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</si>
  <si>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</si>
  <si>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</si>
  <si>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</si>
  <si>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</si>
  <si>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</si>
  <si>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</si>
  <si>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</si>
  <si>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</si>
  <si>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</si>
  <si>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</si>
  <si>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</si>
  <si>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</si>
  <si>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</si>
  <si>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</si>
  <si>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</si>
  <si>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</si>
  <si>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</si>
  <si>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</si>
  <si>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</si>
  <si>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</si>
  <si>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</si>
  <si>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</si>
  <si>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</si>
  <si>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</si>
  <si>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</si>
  <si>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</si>
  <si>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</si>
  <si>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</si>
  <si>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</si>
  <si>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</si>
  <si>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</si>
  <si>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</si>
  <si>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</si>
  <si>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</si>
  <si>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</si>
  <si>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</si>
  <si>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</si>
  <si>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</si>
  <si>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</si>
  <si>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</si>
  <si>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</si>
  <si>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</si>
  <si>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</si>
  <si>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</si>
  <si>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</si>
  <si>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</si>
  <si>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</si>
  <si>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</si>
  <si>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</si>
  <si>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</si>
  <si>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</si>
  <si>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</si>
  <si>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</si>
  <si>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</si>
  <si>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</si>
  <si>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</si>
  <si>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</si>
  <si>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</si>
  <si>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</si>
  <si>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</si>
  <si>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</si>
  <si>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</si>
  <si>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</si>
  <si>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</si>
  <si>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</si>
  <si>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</si>
  <si>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</si>
  <si>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</si>
  <si>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</si>
  <si>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</si>
  <si>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</si>
  <si>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</si>
  <si>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</si>
  <si>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</si>
  <si>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</si>
  <si>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</si>
  <si>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</si>
  <si>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</si>
  <si>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18-1-636</t>
  </si>
  <si>
    <t>18-1-670</t>
  </si>
  <si>
    <t>18-1-858</t>
  </si>
  <si>
    <t>37-1-676</t>
  </si>
  <si>
    <t>37-1-759</t>
  </si>
  <si>
    <t>37-1-746</t>
  </si>
  <si>
    <t>37-1-824</t>
  </si>
  <si>
    <t>15-1-673</t>
  </si>
  <si>
    <t>15-1-677</t>
  </si>
  <si>
    <t>15-1-825</t>
  </si>
  <si>
    <t>15-1-843</t>
  </si>
  <si>
    <t>15-1-844</t>
  </si>
  <si>
    <t>15-1-864</t>
  </si>
  <si>
    <t>15-1-866</t>
  </si>
  <si>
    <t>14-1-733</t>
  </si>
  <si>
    <t>14-1-830</t>
  </si>
  <si>
    <t>14-1-869</t>
  </si>
  <si>
    <t>ES84170135</t>
  </si>
  <si>
    <t>ES84170137</t>
  </si>
  <si>
    <t>11-1-772</t>
  </si>
  <si>
    <t>ES84170132</t>
  </si>
  <si>
    <t>11-1-874</t>
  </si>
  <si>
    <t>11-1-886</t>
  </si>
  <si>
    <t>26-1-719</t>
  </si>
  <si>
    <t>24-1-748</t>
  </si>
  <si>
    <t>24-1-868</t>
  </si>
  <si>
    <t>ES84170121</t>
  </si>
  <si>
    <t>25-1-876</t>
  </si>
  <si>
    <t>20-1-669</t>
  </si>
  <si>
    <t>20-1-784</t>
  </si>
  <si>
    <t>31-1-794</t>
  </si>
  <si>
    <t>31-1-728</t>
  </si>
  <si>
    <t>12-1-692</t>
  </si>
  <si>
    <t>12-1-831</t>
  </si>
  <si>
    <t>13-1-771</t>
  </si>
  <si>
    <t>13-1-880</t>
  </si>
  <si>
    <t>51-1-884</t>
  </si>
  <si>
    <t>54-1-841</t>
  </si>
  <si>
    <t>07-1-664</t>
  </si>
  <si>
    <t>07-1-769</t>
  </si>
  <si>
    <t>07-1-826</t>
  </si>
  <si>
    <t>07-1-834</t>
  </si>
  <si>
    <t>07-1-908</t>
  </si>
  <si>
    <t>08-1-727</t>
  </si>
  <si>
    <t>08-1-715</t>
  </si>
  <si>
    <t>08-1-855</t>
  </si>
  <si>
    <t>08-1-865</t>
  </si>
  <si>
    <t>08-1-886</t>
  </si>
  <si>
    <t>08-1-901</t>
  </si>
  <si>
    <t>32-1-730</t>
  </si>
  <si>
    <t>52-1-701</t>
  </si>
  <si>
    <t>52-1-704</t>
  </si>
  <si>
    <t>52-1-705</t>
  </si>
  <si>
    <t>52-1-779</t>
  </si>
  <si>
    <t>52-1-894</t>
  </si>
  <si>
    <t>52-1-909</t>
  </si>
  <si>
    <t>47-1-821</t>
  </si>
  <si>
    <t>10-1-724</t>
  </si>
  <si>
    <t>10-1-839</t>
  </si>
  <si>
    <t>ES84170165</t>
  </si>
  <si>
    <t>10-1-716</t>
  </si>
  <si>
    <t>10-1-734</t>
  </si>
  <si>
    <t>10-1-773</t>
  </si>
  <si>
    <t>10-1-726</t>
  </si>
  <si>
    <t>10-1-879</t>
  </si>
  <si>
    <t>10-1-782</t>
  </si>
  <si>
    <t>10-1-882</t>
  </si>
  <si>
    <t>10-1-881</t>
  </si>
  <si>
    <t>10-1-899</t>
  </si>
  <si>
    <t>23-1-762</t>
  </si>
  <si>
    <t>23-1-885</t>
  </si>
  <si>
    <t>5-1-756</t>
  </si>
  <si>
    <t>5-1-859</t>
  </si>
  <si>
    <t>5-1-856</t>
  </si>
  <si>
    <t>5-1-867</t>
  </si>
  <si>
    <t>05-1-721</t>
  </si>
  <si>
    <t>58-1-862</t>
  </si>
  <si>
    <t>40-1-779</t>
  </si>
  <si>
    <t>50-1-788</t>
  </si>
  <si>
    <t>50-1-789</t>
  </si>
  <si>
    <t>50-1-906</t>
  </si>
  <si>
    <t>17-1-695</t>
  </si>
  <si>
    <t>22-1-790</t>
  </si>
  <si>
    <t>22-1-684</t>
  </si>
  <si>
    <t>22-1-878</t>
  </si>
  <si>
    <t>42-1-785</t>
  </si>
  <si>
    <t>09-1-832</t>
  </si>
  <si>
    <t>ES84170175</t>
  </si>
  <si>
    <t>09-1-895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</si>
  <si>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</si>
  <si>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</si>
  <si>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</si>
  <si>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</si>
  <si>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</si>
  <si>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</si>
  <si>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</si>
  <si>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</si>
  <si>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</si>
  <si>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</si>
  <si>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</si>
  <si>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</si>
  <si>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</si>
  <si>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</si>
  <si>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</si>
  <si>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</si>
  <si>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</si>
  <si>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</si>
  <si>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5-1-902</t>
  </si>
  <si>
    <t>5-1-897</t>
  </si>
  <si>
    <t>62-1-896</t>
  </si>
  <si>
    <t>Establecimiento de una plataforma biotecnológica para la innovación en biohidrocarburos a partir de microalgas</t>
  </si>
  <si>
    <t xml:space="preserve">Ingeniería genética: Estrategia molecular para el mejoramiento del proceso de producción ficobilirpoteinas a partir de la microalga Porphyridium cruentum </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</si>
  <si>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</si>
  <si>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</si>
  <si>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</si>
  <si>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</si>
  <si>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Desarrollo de cátodos híbridos para bacterias de ion litio aplicables a sistemas de generación intermitente y sistemas no integrados</t>
  </si>
  <si>
    <t>Desarrollo de materiales ligeros modificados para su aplicación en implementos para la movilidad en personas en situación de discapacidad</t>
  </si>
  <si>
    <t>Desarrollo de nuevos materiales semiconductores para la obtención de hidrógeno como combustible solar</t>
  </si>
  <si>
    <t>Obtención de nuevas aleaciones ligeras de alto valor agregado para contribuir al desarrollo de las indrustrias de Biomateriales y aeronáutica del País</t>
  </si>
  <si>
    <t>Development of a thermal energy storage system with a wide temperature range using a natural mineral mixture as porous support of a phase change material</t>
  </si>
  <si>
    <t>Preparación de biomateriales antimicrobianos solidos mediante inmovilizacion del peptido KR-12 y analogos en materiales siliceos, y evaluacion de su comportamiento en gel de fibrina para apositos. Codigo: 111577757023</t>
  </si>
  <si>
    <t>Preparación de membranas compuestas basadas en nanoparticulas en silicas mesoporosas funcioanles y poli(éter éter sulfona) sulfonada con potencial aplicación en celdas de combustible de metanol</t>
  </si>
  <si>
    <t>Preparación y caracterización de nanopartículas portadoras de Gusperimus con potencial aplicación en el proceso de implantación de islotes celulares para el tratamiento de la diabetes mellitus tipo 1.</t>
  </si>
  <si>
    <t>Preparación de polvos multifuncionales mediante proceso sol-gel de sílice y suevaluación in vitro como sistemas de dosificación de suplementos dietarios enzimáticos y minerales</t>
  </si>
  <si>
    <t>Evaluación de la presencia de Cryptosporidium parvum y Giardia lamblia en aguas crudas y tratadas en zonas rurales del Área Metropolitana del Valle de Aburra</t>
  </si>
  <si>
    <t>Comparación del efecto de diferentes sistemas de tratamiento de aguas residuales municipales en la dinámica de bacterias resistentes a antibióticos</t>
  </si>
  <si>
    <t>Proyecto para el diseño e implementación de un prototipo para la extracción de almidón a partir de papas de decarte con el objeto de generar un banco de prueba para estudios de valor agregado</t>
  </si>
  <si>
    <t>Tecnologías de oxidación avanzada basadas en radicales de aniones sulfato y su aplicación en la remoción de antibióticos</t>
  </si>
  <si>
    <t>Investigación temática para la construcción de euna propuesta educativa sobre la crianza apoyada en TIC, en la Vereda granizal, Bello, 2017-2020</t>
  </si>
  <si>
    <t>Dynamical phase transitions study in a Co1-xRux magnetic system of two-dimentional Ising-type.</t>
  </si>
  <si>
    <t>Entrelazamiento, coherencia y correlación en sistemas atómicos y moleculares</t>
  </si>
  <si>
    <t>Redes de espines interactuantes</t>
  </si>
  <si>
    <t xml:space="preserve">Estimación de riesgo de cáncer por exposición a reconocidos carcinógenos asociados al material particulado respirable en el Área Matropolitana del Valle de Aburrá (AMVA)- Antioquia </t>
  </si>
  <si>
    <t>Cambio climáticos durane las dos últimas centurias en los tres valles: Aburrá, San Nicolás y Santa fé de Antioquia por quimio estratigrafia de alta resolución asistida por micro fluorescencia - x (uXRF)</t>
  </si>
  <si>
    <t>Expedición virológica en ecosistemas representativos de Colombia: Selva húmeda tropical de la Sierra Nevada de Santa Marta</t>
  </si>
  <si>
    <t>Prevalencia y modelación de la infección por virus de la hepatitis C en Colombia</t>
  </si>
  <si>
    <t>Análisis estructural y funcional de las proteínas Presenilina 1 y presenilina-2 componentes del complejo gama secretasa y su relación con la enfermedad de Alzheimer familiar</t>
  </si>
  <si>
    <t xml:space="preserve">Desarrollo de un prototipo fitoterapeútico basado en triterpenos encapsulados en nanovehículos para el tratamiento de la diabetes mellitus tipo 2 </t>
  </si>
  <si>
    <t>Citogenotoxicidad geográfica de contaminantes atmosféricos</t>
  </si>
  <si>
    <t>DENGUE: Disfunción Endotelial-Nuevo Giro que Urge en el Enfoque fisiopatológico para entender la enfermedad</t>
  </si>
  <si>
    <t>Desarrollo de nuevos péptidos derivados de la crotalicidina como potenciales agentes antimicrobinas para el tratamiento de aislados clínicos de Staphylococcus aures resistente a antibióticos (63040)</t>
  </si>
  <si>
    <t>Disección genetica de los errores innatos de la inmunidad</t>
  </si>
  <si>
    <t>Inmunological and Genetic characterization of Colombian patients with Epidermodysplasia Verruciformis (EV) and Recalcitrant Warts (RW)</t>
  </si>
  <si>
    <t>Identifying Monogenic inborn errors of innate immunity underlying fungal and parasites infections in Colombian Patients</t>
  </si>
  <si>
    <t>Disección genetica de los errores congémitos de la inmunidad innata. ECOS-Nord</t>
  </si>
  <si>
    <t>Descubriendo las bases genéticas humanas de la tuberculosis (TB) y la susceptibilidad mendeliana a las enfermedades micobacterianas (MSMD) en pacientes colombianos VIH negativos.</t>
  </si>
  <si>
    <t>Evaluación del papel de la vitamina D en la expresión de receptores tipo Toll, citoquinas y microRNA en respuesta a la infección por los virus Chikungunya y Zika</t>
  </si>
  <si>
    <t>Potential inmunognicity of mutated epitopes derived from HIV-1 gag restricted to CD8+ T cells in chronically infected patients from medellin.</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</si>
  <si>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</si>
  <si>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</si>
  <si>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</si>
  <si>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 xml:space="preserve">Perfil transcriptómico para determinar el papel de la vitamina D en la modulación de la respuesta inflamatoria, antiviral y estrés celular en macrófagos infectados por el virus del dengue. </t>
  </si>
  <si>
    <t xml:space="preserve">Síntesis y caracterización de péptidos a partir de venenos de arañas: hacia el desarrollo de nuevos antimicrobianos </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</si>
  <si>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</si>
  <si>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</si>
  <si>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</si>
  <si>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</si>
  <si>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 xml:space="preserve">Nanobiosensores para la detección rapida de SARS-CoV-2 </t>
  </si>
  <si>
    <t>Identificación y caracterización de las proteínas del fluido seminal del vector del dengue (Aedes aegypti) necesarias para la reproducción, como blancos potenciales para el control de las poblaciones de mosquitos en Colombia.</t>
  </si>
  <si>
    <t>DRUA WANDRA. Caracterización de la Flora y Fauna de los sitios sagrados de polines y yaberadó, resguardos del pueblo Embera de Chigorodó (Antioquia)</t>
  </si>
  <si>
    <t>Parkinsons disease genetic risk factors in Latino populations</t>
  </si>
  <si>
    <t xml:space="preserve">Desarrollo de cultivos 3D de pacientes con Alzheimer PSEN1 E280A con aplicación en diseños terapéuticos </t>
  </si>
  <si>
    <t>Factores fosfolípidicos convergentes en tauopatía, daño cognitivo y demencia vascular: causas agudas, crónicas y genéticas</t>
  </si>
  <si>
    <t>Implicación de los Astrocitos de Alzheimer en la estabilidad de la unidad neurovascular: hacia un desarrollo biotecnológico</t>
  </si>
  <si>
    <t>Astrocitos-CDK5 RNAi como modulador de la sinápsis: Perspectiva en terapia celular</t>
  </si>
  <si>
    <t>Estudio preclínico de moléculas promisorias en el tratamiento de pacientes pediatricos con leusemias agudas con mala respuesta a los tratamientos convencionales</t>
  </si>
  <si>
    <t>Desarrollo del proceso de formulación del prototipo LEUKOPOP 2T y su estudio farmacológico en un modelo de leucemia</t>
  </si>
  <si>
    <t xml:space="preserve">Riesgo asociado a infecciones persistentes por diferentes agentes infecciosos y el desarrollo de la enfermedad de Alzheimer </t>
  </si>
  <si>
    <t>Diseño de una terapia combinada para el tratamiento de la enfermedad de Alzheimer familiar con mutación en la presenilina 1</t>
  </si>
  <si>
    <t>Medidas dinámicas de calidad y desempeño visual usando óptica adaptativa y óptica activa</t>
  </si>
  <si>
    <t>Uso de bacteriófagos líticos para el manejo del Moko del plátano y evaluar su efectividad e impacto a nivel de campo</t>
  </si>
  <si>
    <t>Antilehismanial arnica preparations</t>
  </si>
  <si>
    <t>Búsqueda y validación de nuevos inhibidores de los transportadores de membrana de la familia MMPL de Mycobacterium tuberculosis como nuevos agentes antimicrobianos con potencial terapéutico</t>
  </si>
  <si>
    <t>Validación biofísica y funcional de un inhibidor alostérico del dominio pleckstrin de la quinasa AKT-like de Trypanosoma cruzi como alternativa terapéutica para la enfermedad de Chagas.</t>
  </si>
  <si>
    <t>Identificación de nuevos RNA pequeños no codificantes exosomales y de sus mecanísmos angiogénicos en cáncer cervical y de colón</t>
  </si>
  <si>
    <t>Propiedades redox de perovskitas LaBO3 (B: Mn, Fe, Co, Ni) y su efecto sobre la oxidación de Co</t>
  </si>
  <si>
    <t>Búsqueda de metabolitos secundarios anti virulentos como estrategia para el control del patógeno Klebsiella Pneumoniae, fase II</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</si>
  <si>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</si>
  <si>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</si>
  <si>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Factores asociados al reintegro ocupacional un año después en pacientes con  trauma craneocenfálico (TCE) moderado y grave ocurrido en Medellín y su área metropolitana entre 2018 y 2019</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</si>
  <si>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</si>
  <si>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</si>
  <si>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</si>
  <si>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</si>
  <si>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</si>
  <si>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</si>
  <si>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</si>
  <si>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</si>
  <si>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</si>
  <si>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</si>
  <si>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</si>
  <si>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</si>
  <si>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</si>
  <si>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</si>
  <si>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</si>
  <si>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</si>
  <si>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</si>
  <si>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 xml:space="preserve">Rastreo biodirigidode moléculas anticancerigenas inspiradas en productos naturales: Un enfoque integrado y aplicado a las especies amaryllidaceae </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</si>
  <si>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</si>
  <si>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</si>
  <si>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</si>
  <si>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</si>
  <si>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</si>
  <si>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</si>
  <si>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</si>
  <si>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</si>
  <si>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</si>
  <si>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</si>
  <si>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</si>
  <si>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</si>
  <si>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</si>
  <si>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</si>
  <si>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</si>
  <si>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</si>
  <si>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</si>
  <si>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</si>
  <si>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</si>
  <si>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</si>
  <si>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</si>
  <si>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</si>
  <si>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</si>
  <si>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</si>
  <si>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</si>
  <si>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</si>
  <si>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</si>
  <si>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</si>
  <si>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</si>
  <si>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</si>
  <si>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</si>
  <si>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</si>
  <si>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</si>
  <si>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</si>
  <si>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</si>
  <si>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</si>
  <si>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</si>
  <si>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</si>
  <si>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</si>
  <si>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5-1-914</t>
  </si>
  <si>
    <t>13-1-910</t>
  </si>
  <si>
    <t>ADMINISTRACIÓN</t>
  </si>
  <si>
    <t>BIOPROCESOS</t>
  </si>
  <si>
    <t>BIOTECNOLOGÍA</t>
  </si>
  <si>
    <t>CARCINOGENESIS</t>
  </si>
  <si>
    <t>CENTAURO</t>
  </si>
  <si>
    <t>CIDEMAT</t>
  </si>
  <si>
    <t>CITOMETRÍA</t>
  </si>
  <si>
    <t>CRESCA</t>
  </si>
  <si>
    <t>GAIA</t>
  </si>
  <si>
    <t>GASURE</t>
  </si>
  <si>
    <t>GIMEL</t>
  </si>
  <si>
    <t>GMMT</t>
  </si>
  <si>
    <t>GRIPE</t>
  </si>
  <si>
    <t>OPTICA</t>
  </si>
  <si>
    <t>PECET</t>
  </si>
  <si>
    <t>PHYSIS</t>
  </si>
  <si>
    <t>REPRODUCCIÓN</t>
  </si>
  <si>
    <t>SÉNECA</t>
  </si>
  <si>
    <t>GRUPO DE PROYECTO</t>
  </si>
  <si>
    <t>NOMBRE DE PROYECTO</t>
  </si>
  <si>
    <t>CATÁLISIS_AMBIENTAL</t>
  </si>
  <si>
    <t>CIENCIA_DE_LOS_MATERIALES</t>
  </si>
  <si>
    <t>DIAGNÓSTICO_Y_CONTROL_DE_LA_CONTAMINACIÓN</t>
  </si>
  <si>
    <t>DIDÁCTICA_Y_NUEVAS_TECNOLOGÍAS</t>
  </si>
  <si>
    <t>DIRECCIÓN_DE_POSGRADOS</t>
  </si>
  <si>
    <t>ALIMENTACIÓN_Y_NUTRICIÓN_HUMANA</t>
  </si>
  <si>
    <t>BIOLOGIA_Y_CONTROL_DE_ENFERMEDADES_INFECCIOSAS_-_BCEI</t>
  </si>
  <si>
    <t>CATALIZADORES_Y_ADSORBENTES</t>
  </si>
  <si>
    <t>ESTADO_SÓLIDO</t>
  </si>
  <si>
    <t>FENOMENOLOGÍA_DE_INTERACCIONES_FUNDAMENTALES</t>
  </si>
  <si>
    <t>FÍSICA_ATÓMICA</t>
  </si>
  <si>
    <t>FONDO_ANIMALES_LABORATORIO</t>
  </si>
  <si>
    <t>GENÉTICA_MOLECULAR</t>
  </si>
  <si>
    <t>GENÉTICA_Y_BIOQUÍMICA_DE_MICROORGANISMOS</t>
  </si>
  <si>
    <t>Grupo_de_Bioquímica_Estructural_de_Macromoléculas</t>
  </si>
  <si>
    <t>HISTORIA_DE_LA_PRÁCTICA_PEDAGÓGICA_EN_COLOMBIA</t>
  </si>
  <si>
    <t>INMUNODEFICIENCIAS_PRIMARIAS</t>
  </si>
  <si>
    <t>INVESTIGACIÓN_Y_DESARROLLO_EN_INGENIERIA_WEB</t>
  </si>
  <si>
    <t>LABORATORIO_DE_INVESTIGACIÓN_EN_POLÍMEROS(LIPOL)</t>
  </si>
  <si>
    <t>MAX_PLANCK</t>
  </si>
  <si>
    <t>MEDICINA_MOLECULAR_Y_DE_TRASLACIÓN</t>
  </si>
  <si>
    <t>MEDIO_AMBIENTE_Y_SOCIEDAD</t>
  </si>
  <si>
    <t>PROCESOS_FISICOQUIMICOS_APLICADOS</t>
  </si>
  <si>
    <t>PROCESOS_QUIMICOS_INDUSTRIALES</t>
  </si>
  <si>
    <t>QUÍMICA_DE_RECURSOS_ENERGÉTICOS</t>
  </si>
  <si>
    <t>QUÍMICA_ORGÁNICA_DE_PRODUCTOS_NATURALES</t>
  </si>
  <si>
    <t>REHABILITACIÓN_EN_SALUD</t>
  </si>
  <si>
    <t>SUSTANCIAS_BIOACTIVAS</t>
  </si>
  <si>
    <t>GENÉTICA_REGENERACIÓN_Y_CÁNCER</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</si>
  <si>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</si>
  <si>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</si>
  <si>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</si>
  <si>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</si>
  <si>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</si>
  <si>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</si>
  <si>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</si>
  <si>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</si>
  <si>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</si>
  <si>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</si>
  <si>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</si>
  <si>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</si>
  <si>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</si>
  <si>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</si>
  <si>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</si>
  <si>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</si>
  <si>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</si>
  <si>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</si>
  <si>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</si>
  <si>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</si>
  <si>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</si>
  <si>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</si>
  <si>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</si>
  <si>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</si>
  <si>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</si>
  <si>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</si>
  <si>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</si>
  <si>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</si>
  <si>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</si>
  <si>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</si>
  <si>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</si>
  <si>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</si>
  <si>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</si>
  <si>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</si>
  <si>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</si>
  <si>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</si>
  <si>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</si>
  <si>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</si>
  <si>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</si>
  <si>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</si>
  <si>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</si>
  <si>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</si>
  <si>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</si>
  <si>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</si>
  <si>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</si>
  <si>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</si>
  <si>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</si>
  <si>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</si>
  <si>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</si>
  <si>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</si>
  <si>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</si>
  <si>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</si>
  <si>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</si>
  <si>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</si>
  <si>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</si>
  <si>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</si>
  <si>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</si>
  <si>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</si>
  <si>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</si>
  <si>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</si>
  <si>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</si>
  <si>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</si>
  <si>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</si>
  <si>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</si>
  <si>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</si>
  <si>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</si>
  <si>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</si>
  <si>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</si>
  <si>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</si>
  <si>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</si>
  <si>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</si>
  <si>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</si>
  <si>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</si>
  <si>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</si>
  <si>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</si>
  <si>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</si>
  <si>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</si>
  <si>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</si>
  <si>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</si>
  <si>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</si>
  <si>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</si>
  <si>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</si>
  <si>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</si>
  <si>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</si>
  <si>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</si>
  <si>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</si>
  <si>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</si>
  <si>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</si>
  <si>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</si>
  <si>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</si>
  <si>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</si>
  <si>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</si>
  <si>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</si>
  <si>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</si>
  <si>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</si>
  <si>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</si>
  <si>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</si>
  <si>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</si>
  <si>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</si>
  <si>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</si>
  <si>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</si>
  <si>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</si>
  <si>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</si>
  <si>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</si>
  <si>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</si>
  <si>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</si>
  <si>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</si>
  <si>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</si>
  <si>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</si>
  <si>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</si>
  <si>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</si>
  <si>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</si>
  <si>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</si>
  <si>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</si>
  <si>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</si>
  <si>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</si>
  <si>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</si>
  <si>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</si>
  <si>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</si>
  <si>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</si>
  <si>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</si>
  <si>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</si>
  <si>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</si>
  <si>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</si>
  <si>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</si>
  <si>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</si>
  <si>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</si>
  <si>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</si>
  <si>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</si>
  <si>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</si>
  <si>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</si>
  <si>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</si>
  <si>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</si>
  <si>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</si>
  <si>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</si>
  <si>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</si>
  <si>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</si>
  <si>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</si>
  <si>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</si>
  <si>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</si>
  <si>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</si>
  <si>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</si>
  <si>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</si>
  <si>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</si>
  <si>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</si>
  <si>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</si>
  <si>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</si>
  <si>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</si>
  <si>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</si>
  <si>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</si>
  <si>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</si>
  <si>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</si>
  <si>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</si>
  <si>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</si>
  <si>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</si>
  <si>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</si>
  <si>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</si>
  <si>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</si>
  <si>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</si>
  <si>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</si>
  <si>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</si>
  <si>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</si>
  <si>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</si>
  <si>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</si>
  <si>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</si>
  <si>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</si>
  <si>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</si>
  <si>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</si>
  <si>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</si>
  <si>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</si>
  <si>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</si>
  <si>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</si>
  <si>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</si>
  <si>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</si>
  <si>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</si>
  <si>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</si>
  <si>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</si>
  <si>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</si>
  <si>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</si>
  <si>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</si>
  <si>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</si>
  <si>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</si>
  <si>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</si>
  <si>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</si>
  <si>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</si>
  <si>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</si>
  <si>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</si>
  <si>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</si>
  <si>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</si>
  <si>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</si>
  <si>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</si>
  <si>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</si>
  <si>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</si>
  <si>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</si>
  <si>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</si>
  <si>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</si>
  <si>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Raúl Leonardo Nárvaez Sánchez</t>
  </si>
  <si>
    <t>Rodrigo de Jesús Castaño Llano</t>
  </si>
  <si>
    <t>Rodrigo Henao</t>
  </si>
  <si>
    <t>Rosa María Bolivar Osorio</t>
  </si>
  <si>
    <t>Rosalba Durán Forero</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</si>
  <si>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</si>
  <si>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</si>
  <si>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</si>
  <si>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</si>
  <si>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</si>
  <si>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</si>
  <si>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</si>
  <si>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</si>
  <si>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</si>
  <si>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</si>
  <si>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</si>
  <si>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</si>
  <si>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Wildeman Zapata Builes</t>
  </si>
  <si>
    <t>Wilson Alonso Ruiz Machado</t>
  </si>
  <si>
    <t>Wilson Antonio Bolivar Buritica</t>
  </si>
  <si>
    <t>Wiston Williams Quiñones Fletcher</t>
  </si>
  <si>
    <t>Yahir Enrique González Doria</t>
  </si>
  <si>
    <t>-</t>
  </si>
  <si>
    <t>SOLICITUD DE TRÁMITE PARA COMPRAS INFERIORES A 30 SMMLV</t>
  </si>
  <si>
    <t>Rafael Rios Beltran</t>
  </si>
  <si>
    <t>Wbeimar Aguilar Jiménez</t>
  </si>
  <si>
    <t>Evaluación a nivel piloto de alternativas para el tratamiento de compuestos orgánicos persistentes (COPs)</t>
  </si>
  <si>
    <t>Evaluación de una prueba rápida de detección de antígeno y la cuantificación del genoma viral como marcadores de infección y de contagiosidad en la infección por SARS-CoV-2 en una población del Área Metropolitana del Valle de Aburrá.</t>
  </si>
  <si>
    <t>Evaluación in silico e in vitro de la actividad anti-SARS-CoV-2 de medicamentos de segundo uso.</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</si>
  <si>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</si>
  <si>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11-1-921</t>
  </si>
  <si>
    <t>11-1-929</t>
  </si>
  <si>
    <t>08-1-919</t>
  </si>
  <si>
    <t>08-1-920</t>
  </si>
  <si>
    <t>23-1-925</t>
  </si>
  <si>
    <t>5-1-870</t>
  </si>
  <si>
    <t>17-1-911</t>
  </si>
  <si>
    <t>17-1-923</t>
  </si>
  <si>
    <t>5-1-917</t>
  </si>
  <si>
    <t>5-1-924</t>
  </si>
  <si>
    <t>\\172.30.200.20\Publico\BD_Proveedores.xlsx</t>
  </si>
  <si>
    <t>GRID</t>
  </si>
  <si>
    <t>15-1-932</t>
  </si>
  <si>
    <t>Desde residuos del petróleo hacia materiales para dispositivos de almacenamiento de energía de alta potencia. CV84200105</t>
  </si>
  <si>
    <t>15-1-939</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</si>
  <si>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</si>
  <si>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</si>
  <si>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</si>
  <si>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</si>
  <si>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Extensión 2021</t>
  </si>
  <si>
    <t>29-2-003-2021</t>
  </si>
  <si>
    <t>Seguimiento del SARS-CoV-2 en aguas residuales de municipios Covid y No- Covid 19 del departamento de Antioquia, como herramienta de monitoreo epidemiológico, alerta temprana y apoyo a la toma de decisiones en salud pública.</t>
  </si>
  <si>
    <t>11-1-931</t>
  </si>
  <si>
    <t>11-1-938</t>
  </si>
  <si>
    <t xml:space="preserve">Identificación de la arquitectura genómica de isla de resistencia en el resistoma de Pseudomonas aruginosas Pseudonomas </t>
  </si>
  <si>
    <t>63-1-943</t>
  </si>
  <si>
    <t>Establecimiento del modelo GBA con la mutación K198E de pacientes con Parkinson en Antioquia</t>
  </si>
  <si>
    <t>Aprovechamiento del potencial energético de residuos agrícolas disponibles en Colombia para generar electricidad, mediante procesos termoquímicos de gasificación. CV84200104</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</si>
  <si>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</si>
  <si>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</si>
  <si>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</si>
  <si>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</si>
  <si>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</si>
  <si>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17-1-934</t>
  </si>
  <si>
    <t xml:space="preserve">Validación precomercial de un nuevo biofungicida de uso agrícola para la protección de cultivos </t>
  </si>
  <si>
    <t>22-1-912</t>
  </si>
  <si>
    <t>ES84190024</t>
  </si>
  <si>
    <t>5-1-937</t>
  </si>
  <si>
    <t>Evaluación del uso potencial de relaves generados en la extracción de minerales en el proyecto Quebradona municipio de Jericó. Aplicación en el mejoramiento de propiedades ingenieriles de suelos viales. CV84200102</t>
  </si>
  <si>
    <t>40-1-927</t>
  </si>
  <si>
    <t>Implementación de la cooperación entre la Universidad y el experimento CMS de la Organización Europea para la Investigación Nuclear - CERN</t>
  </si>
  <si>
    <t>ES03160200</t>
  </si>
  <si>
    <t>ES84180124</t>
  </si>
  <si>
    <t>ES84190058</t>
  </si>
  <si>
    <t>ES84180115</t>
  </si>
  <si>
    <t>ES84190064</t>
  </si>
  <si>
    <t>Fijación de CO2 en epóxidos de aceites esenciales para la síntesis de carbonatos cíclicos mediante procesos catalíticos heterogéneos</t>
  </si>
  <si>
    <t>ES84200113</t>
  </si>
  <si>
    <t>ES84180112</t>
  </si>
  <si>
    <t>Desarrollo y fabricación de componentes para celdas solares de perovskita a escala semi-industrial</t>
  </si>
  <si>
    <t>ES84190158</t>
  </si>
  <si>
    <t>ES84180145</t>
  </si>
  <si>
    <t>ES84200102</t>
  </si>
  <si>
    <t>11-1-675</t>
  </si>
  <si>
    <t>ES84180118</t>
  </si>
  <si>
    <t>ES84190073</t>
  </si>
  <si>
    <t>ES84180152</t>
  </si>
  <si>
    <t>ES84180123</t>
  </si>
  <si>
    <t>ES84180154</t>
  </si>
  <si>
    <t>Mutaciones del Virus de la Hepatitis B asociadas a resistencia al tratamiento con el análogo de nucleósido (Entecavir) en pacientes sin tratamiento previo y pacientes en esquema de tratamiento</t>
  </si>
  <si>
    <t>31-1-947</t>
  </si>
  <si>
    <t>Identificación de potenciales blancos terapéuticos a partir de triterpenos presentes en Eucalyptus tereticornis para el tratamiento de complicaciones asociadas a la obesidad.</t>
  </si>
  <si>
    <t>12-1-731</t>
  </si>
  <si>
    <t>ES84180105</t>
  </si>
  <si>
    <t>ES84190065</t>
  </si>
  <si>
    <t>ES84190106</t>
  </si>
  <si>
    <t>Papel de microRNA, expresados en macrófagos diferenciados con vitamina D, en la modulación de la respuesta inflamatoria inducida por el DENV-2</t>
  </si>
  <si>
    <t>08-1-678</t>
  </si>
  <si>
    <t>ES84180102</t>
  </si>
  <si>
    <t>Programas de expresión génica modulados por la vitamina D en macrófagos en respuesta a la infección por virus dengue</t>
  </si>
  <si>
    <t>ES84200147</t>
  </si>
  <si>
    <t>ES84180131</t>
  </si>
  <si>
    <t>ES84180116</t>
  </si>
  <si>
    <t>ES84180101</t>
  </si>
  <si>
    <t>ES84180141</t>
  </si>
  <si>
    <t>ES84190063</t>
  </si>
  <si>
    <t>Validación In Silico e In vitro del potencial Antiviral de moléculas obtenidas por bioprospección contra proteínas estructurales y no estructurales del Virus Dengue</t>
  </si>
  <si>
    <t>5-1-786</t>
  </si>
  <si>
    <t>ES84180108</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</si>
  <si>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</si>
  <si>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</si>
  <si>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</si>
  <si>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</si>
  <si>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</si>
  <si>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</si>
  <si>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ES84180117</t>
  </si>
  <si>
    <t>ES84190029</t>
  </si>
  <si>
    <t>Polímeros inhibidores de la formación de biopelículas-Prueba de concepto</t>
  </si>
  <si>
    <t>22-1-889</t>
  </si>
  <si>
    <t>CromaLeish, ungüento para el tratamiento tópico de la leishmaniasis cutánea humana y canina</t>
  </si>
  <si>
    <t>5-1-890</t>
  </si>
  <si>
    <t>Evaluación de la capacidad antitumoralinvitro e invivo de extractos biológicos obtenidos de las plantas sacha inchi y moringa oreifera en cáncer gástrico. CV84200107</t>
  </si>
  <si>
    <t>FORTALECIMIENTO DE CAPACIDADES DE INVESTIGACIÓN EN LA UNIVERSIDAD DE ANTIOQUIA</t>
  </si>
  <si>
    <t>49-2-946</t>
  </si>
  <si>
    <t>Frecuencia de síntomas de prostatitis en los hombres del Área Metropolitana del Valle de Aburrá - Antioquia y su efecto sobre la fertilidad.</t>
  </si>
  <si>
    <t>Filtros catalíticos para el control de compuestos orgánicos volátiles (COV): integración de las etapas tecnológicas y productivas hacia la creación de una línea de negocio</t>
  </si>
  <si>
    <t>Hidrólisis con Alta Carga de Sólidos de Raquis de Palma Pretratado por LHW: Una Alternativa Económica a la Producción de Etanol de Segunda Generación</t>
  </si>
  <si>
    <t>Producción de diésel renovable de aceite de Higuerilla mediante el desarrollo de un proceso continuo sostenible</t>
  </si>
  <si>
    <t>Producción de un material  polimércio tipo-poliuretano sin isocianato, para aplicaciones adhesivos o plastificantes, a partir de aceite de ricino y quitosano</t>
  </si>
  <si>
    <t>Desarrollo de una nueva tecnología a partir de un asfalto natural para su aplicación en infraestructura vial</t>
  </si>
  <si>
    <t>Desarrollo de control positivo para la verificación de la sensibilidad y especificidad del diagnóstico de Covid 19</t>
  </si>
  <si>
    <t>Prevalencia, caracterización genética y distribución geográfica de los virus influenza tipo A en granjas porcinas de Colombia</t>
  </si>
  <si>
    <t>Control de campos ópticos en tiempo real aplicado a la visualización de información</t>
  </si>
  <si>
    <t>Sistemas formadores de vórtices ópticos mediante máscaras de fase discretizada: Análisis de carga topológica, momento angular orbital y aplicaciones metrológicas</t>
  </si>
  <si>
    <t>Estudio del efecto del gen LRRK2 nulo en un modelo neuronal de Parkinson: Estrategia Terapéutica</t>
  </si>
  <si>
    <t>Nanoestructuras de aleaciones magnéticas de FeMB(M=Cu, Ni, Zr): Una contribución al entendimiento del efecto magnetocalórico”</t>
  </si>
  <si>
    <t>Desarrollo de un biosensor óptico para el seguimiento en línea de plaguicidas organofosforados presentes en aguas.</t>
  </si>
  <si>
    <t>Diseño, evaluación y optimización de sistemas biológicos para el tratamiento del agua residual producto de la extracción de almidón de papa.</t>
  </si>
  <si>
    <t>Monitoreo de contaminantes orgánicos persistentes  (COPs) en Colombia</t>
  </si>
  <si>
    <t>Preparación y caracterización de nanopartículas de albúmina funcionalizadas con trastuzumab para transportar paclitaxel con potencial aplicación para tratamiento de cáncer gástrico</t>
  </si>
  <si>
    <t>Fabricación de celdas solares de última generación a partir de dispersiones coloidales estables y compatibles con métodos de fabricación escalables.</t>
  </si>
  <si>
    <t>Desarrollo de las espinelas LixM2-yTiyO4 y NaxLi1-xM2yTiyO4+5 como cátodo en baterías de ion-litio</t>
  </si>
  <si>
    <t>Desarrollo de aleaciones Ti1-x Mgx Y Mg1-x Tix con bajos contenidos de aleante</t>
  </si>
  <si>
    <t>Simultaneous catalytic elimination of nitrogen oxides and organochlorine compunds over Pd/Co catalysts</t>
  </si>
  <si>
    <t xml:space="preserve"> Alistar técnica y operativamente la infraestructura especializada  en propagación in-vitro y ex – vitro y adecuación de nuevas áreas para el establecimiento de nuevos negocios</t>
  </si>
  <si>
    <t>56-1-796</t>
  </si>
  <si>
    <t>Desarrollo e implementación de estrategias biotecnológicas para el mejoramiento de la propagación de Material Élite de cacao en Antioquia.</t>
  </si>
  <si>
    <t>56-1-797</t>
  </si>
  <si>
    <t>Consolidar un equipo humano especializado en la gestión de bionegocios y en la aplicación de la biotecnología</t>
  </si>
  <si>
    <t>56-1-798</t>
  </si>
  <si>
    <t>Implementar un sistema experto de información y comunicación que permita el fortalecimiento de los encadenamientos productivos del sector agropecuario</t>
  </si>
  <si>
    <t>56-1-799</t>
  </si>
  <si>
    <t xml:space="preserve"> Implementar modelo gestión operativa y financiera para el CEDAIT</t>
  </si>
  <si>
    <t>56-1-800</t>
  </si>
  <si>
    <t xml:space="preserve"> Inicio de operaciones de la Biofábrica de semillas </t>
  </si>
  <si>
    <t>56-1-801</t>
  </si>
  <si>
    <t>Diseño de un portafolio de servicios tecnológicos, asesoría, consultoría, asistencia técnica, capacitación y desarrollo in situ de prácticas y modelamiento</t>
  </si>
  <si>
    <t>56-1-802</t>
  </si>
  <si>
    <t xml:space="preserve"> Implementar un modelo de transferencia de tecnología blanda en las Subregiones del Bajo Cauca, Urabá y Suroeste  </t>
  </si>
  <si>
    <t>56-1-803</t>
  </si>
  <si>
    <t>Administración e Interventoría proyecto CEDAIT</t>
  </si>
  <si>
    <t>56-1-804</t>
  </si>
  <si>
    <t>Evaluación de la roca fosfórica y escorias de acería como materias primas para el desarrollo de cementos de fosfato de hierro para aplicaciones en materiales de construcción</t>
  </si>
  <si>
    <t>15-1-770</t>
  </si>
  <si>
    <t>Mixed metal oxides for high voltage Li-ion batteries: a searching by stability and safety</t>
  </si>
  <si>
    <t>15-1-951</t>
  </si>
  <si>
    <t>ES84190066</t>
  </si>
  <si>
    <t>DIDÁCTICA_Y_NUEVAS_TECNOLOGÍAS_</t>
  </si>
  <si>
    <t>Efecto citotóxico, genotóxico y epigenético de la adición de nanomateriales carbonosos en motores de combustión interna operando en modo dual con gas natural en un modelo celular in-vitro. Elemento PEP CV84200109</t>
  </si>
  <si>
    <t>12-1-949</t>
  </si>
  <si>
    <t>Efecto de ROS sobre la transcripción de genes y vías de señalización asociadas a actividad redox durante la regeneración de cola de Ambystoma</t>
  </si>
  <si>
    <t>Carga de la enfermedad y calidad de vida de pacientes adultos y adolescentes con eccema atópico-Caracterización clínica y sociodemográfica</t>
  </si>
  <si>
    <t>ES84190039</t>
  </si>
  <si>
    <t>Evaluación de las potencialidades de la microscopia sin lentes soportada en técnicas de aprendizaje profundo en el diagnóstico de malaria</t>
  </si>
  <si>
    <t>32-1-950</t>
  </si>
  <si>
    <t>52-1-703
se paso su ejecución para el 52-1-779</t>
  </si>
  <si>
    <t>52-1-780
se paso su ejecución para el 52-1-704</t>
  </si>
  <si>
    <t>52-1-781
se paso su ejecución para el 52-1-701</t>
  </si>
  <si>
    <t>Evaluación del efecto de derivados de la planta Cannabis sativa en un modelo de Parkinson: Uso medicinal de la marihuana en el oriente antioqueño</t>
  </si>
  <si>
    <t>Análisis cinético del proceso de desarrollo de resistencia a antimoniales pentavalentes empleando perfiles transcrioptómicos y metabolómicos, en Leishmania (Viannia) panamensis.</t>
  </si>
  <si>
    <t>Caracterización bioquímica y funcional de una serina/treonina quinasa B-like putativa de Trypanosoma cruzi, y evaluación preliminar in vitro de su potencial como blanco macológico para la enfermedad de Chagas (Programáticas)</t>
  </si>
  <si>
    <t>ES84200146</t>
  </si>
  <si>
    <t>Validación de la sensibilidad, especificidad, estabilidad y calidad, de un buffer de lisis directa empleado en el diagnóstico de COVID19.</t>
  </si>
  <si>
    <t>5-1-913</t>
  </si>
  <si>
    <t>Búsqueda activa de casos de violencia contra las mujeres en el municipio de Sabaneta durante el confinamiento obligatorio por COVID-19</t>
  </si>
  <si>
    <t>5-1-918</t>
  </si>
  <si>
    <t>Plataforma para el desarrollo de molusquicidas naturales para control biológico de moluscos hospedadores de helmintos y de importancia agropecuaria</t>
  </si>
  <si>
    <t>Competencia vectorial de poblaciones de Aedes aegypti (Diptera: Culicidae) de Santander, frente a la infección/coinfección por virus Dengue y Chikungunya</t>
  </si>
  <si>
    <t xml:space="preserve">Desarrollo de un respirador mecánico con dispositivo de sanitización de aire hasta escala comercial.  
 </t>
  </si>
  <si>
    <t>Uso de nanomateriales carbonosos como aditivos en diésel para motores de combustión interna operando en modo dual con gas natural y su efecto en el rendimiento, emisiones contaminantes y daño celular (código: 70848). Elemento PEP CV84200109</t>
  </si>
  <si>
    <t>Preparación de nuevos agentes antimaláricos análogos estructurales de 1,1-dioxotiocromen-4-onas como potenciales inhibidores de reductasas de Plasmodium</t>
  </si>
  <si>
    <t>ES84200136</t>
  </si>
  <si>
    <t>ES84190049</t>
  </si>
  <si>
    <t xml:space="preserve">Mecanismos de daño y disfunción endotelial en el síndrome antifosfolípido: ¿hay diferencia de acuerdo a las manifestaciones clínicas del síndrome? 
</t>
  </si>
  <si>
    <t>Sistema Interinstitucional Integrado para la Articulación Científica (SIIAC). Componente de fortalecimiento institucional para la Alianza</t>
  </si>
  <si>
    <t>Juan Camilo Calderón</t>
  </si>
  <si>
    <t>Estudio del efecto de la adición de nanomateriales carbonosos sobre la combustión, 
rendimiento y emisiones de motores de encendido por compresión operando con diésel y en 
modo dual con gas natural. (código: 70447). Elemento PEP CV84200109</t>
  </si>
  <si>
    <t>45-1-958</t>
  </si>
  <si>
    <t xml:space="preserve">MALARIA </t>
  </si>
  <si>
    <t>Desarrollo del aplicativo de diversidad alimentaria</t>
  </si>
  <si>
    <t>46-1-953</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</si>
  <si>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</si>
  <si>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</si>
  <si>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</si>
  <si>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</si>
  <si>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Aplicación de la nanotecnología al desarrollo de materiales basa-dos en magnesio para almacenamiento de hidrógeno, con el fin de contribuir a viabilizar su uso como combustible limpio en sistemas de transporte, código: 69950</t>
  </si>
  <si>
    <t>15-1-961</t>
  </si>
  <si>
    <t>Generación de hidrógeno de bajo impacto ambiental mediante el aprovechamiento de energías renovables, para su posterior uso como combustible limpio en sistemas de transporte, código: 69960</t>
  </si>
  <si>
    <t>15-1-962</t>
  </si>
  <si>
    <t>Desarrollo de un prototipo de ge-neración eléctrica de 1 kw basado en celdas de combustible poliméricas aniónicas, AEMFC, con hidró-geno como combustible, código: 70743</t>
  </si>
  <si>
    <t>15-1-963</t>
  </si>
  <si>
    <t xml:space="preserve"> Análisis de la percentilización de las
características físicas y motrices de los niños y niñas en edad escolar.  en la investigación: “Escolar Antioqueño”</t>
  </si>
  <si>
    <t>55-1-936</t>
  </si>
  <si>
    <t>ES84160101</t>
  </si>
  <si>
    <t>Mantenimiento correctivo del sistema de medidas de propiedades físicas – PPMS</t>
  </si>
  <si>
    <t>24-1-928</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</si>
  <si>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</si>
  <si>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</si>
  <si>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</si>
  <si>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</si>
  <si>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</si>
  <si>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Microevolución del sars-cov-2 en medellín durante la pandemia de covid-19 de 2020-2021</t>
  </si>
  <si>
    <t>08-1-955</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</si>
  <si>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</si>
  <si>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</si>
  <si>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</si>
  <si>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</si>
  <si>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</si>
  <si>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</si>
  <si>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</si>
  <si>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</si>
  <si>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Valorización del gas proveniente de la torrefacción de
biomasa, mediante captura de CO2 y combustión en un quemador de lecho poroso</t>
  </si>
  <si>
    <t>17-1-907</t>
  </si>
  <si>
    <t xml:space="preserve">Uso de oxido grafeno y nanotubos de carbono como aditivos a mezclas diésel-biodiésel y su efecto en la eficiencia térmica y las emisiones contaminantes de un motor de encendido por compresión estacionario </t>
  </si>
  <si>
    <t>17-1-905</t>
  </si>
  <si>
    <t>Análisis de medicamento como fuente de resistencia microbiana en las bacterias patogénicas Escherichia coli, Staphylococcus aureus y Pseudomonas aeruginosa vía Quorum Sensing (Programática)</t>
  </si>
  <si>
    <t>ES84200127</t>
  </si>
  <si>
    <t>Cuantificación de Compuestos Farmacéuticamente Activos (CFAc) y Bacterias patógenas en aguas residuales y de riego, suelo y alimentos mediante técnicas de nueva generación: Planteamiento de alternativas para su eliminación, código 69598</t>
  </si>
  <si>
    <t>65-1-964</t>
  </si>
  <si>
    <t>Prototipo para la generación de especies radicales oxidantes para el tratamiento de aguas residuales – GEROs, código 70183</t>
  </si>
  <si>
    <t>65-1-965</t>
  </si>
  <si>
    <t>Aplicación de Procesos Avanzados de Oxidación para la Remoción de CEC, código 70216</t>
  </si>
  <si>
    <t>65-1-966</t>
  </si>
  <si>
    <t>Remediación_Ambiental_y_Biocatálisis</t>
  </si>
  <si>
    <t>Estrategia para la Sostenibilidad 2018-2019 Biotecnología</t>
  </si>
  <si>
    <t>Estrategia de Sostenibilidad 2020-2021 Biotecnología</t>
  </si>
  <si>
    <t>Estrategia para la sostenibilidad 2018-2019 Catálisis Ambiental</t>
  </si>
  <si>
    <t>Estrategia de Sostenibilidad 2020-2021 Catálisis Ambiental</t>
  </si>
  <si>
    <t>Estrategia para la sostenibilidad 2018-2019 CIDEMAT</t>
  </si>
  <si>
    <t>Estrategia para la sostenibilidad 2020-2021 CIDEMAT</t>
  </si>
  <si>
    <t>Estrategia para la sostenibilidad 2018-2019 Ciencia de los Materiales</t>
  </si>
  <si>
    <t>Estrategia de Sostenibilidad 2020-2021 Ciencia de los Materiales</t>
  </si>
  <si>
    <t>Estrategia de Sostenibilidad 2018-2019 GDCON</t>
  </si>
  <si>
    <t>Estrategia de Sostenibilidad 2020-2021 GDCON</t>
  </si>
  <si>
    <t>Estrategia de Sostenibilidad 2018-2019 Didácticas</t>
  </si>
  <si>
    <t>Estrategia para la Sostenibilidad 2018-2019 Estado Sólido</t>
  </si>
  <si>
    <t>Estrategia para la sostenibilidad 2018-2019 Física Atómica</t>
  </si>
  <si>
    <t>Estrategia para la sostenibilidad 2018-2019 GIMEL</t>
  </si>
  <si>
    <t>Estrategia de Sostenibilidad 2020-2021  GIMEL</t>
  </si>
  <si>
    <t>Estrategia para la sostenibilidad 2018-2020 GMMT</t>
  </si>
  <si>
    <t>Estrategia de Sostenibilidad 2020-2021 Inmunovirología</t>
  </si>
  <si>
    <t>Estrategia para la sostenibilidad 2018-2019 MASO</t>
  </si>
  <si>
    <t>Estrategia para la sostenibilidad 2018-2019 Óptica</t>
  </si>
  <si>
    <t>Estrategia de Sostenibilidad 2020-2021  Óptica</t>
  </si>
  <si>
    <t>Estrategia para la sostenibilidad 2018-2019 PECET</t>
  </si>
  <si>
    <t>Estrategia de Sostenibilidad 2020-2021 Reproducción</t>
  </si>
  <si>
    <t>Estrategia de Sostenibilidad 2020-2021 Rehabilitación en Salud</t>
  </si>
  <si>
    <t>Estrategia para la Sostenibilidad 2016-2017 Estado Sólido</t>
  </si>
  <si>
    <t>Estrategia para la sostenibilidad 2020-2021 Estado Sólido</t>
  </si>
  <si>
    <t>Estrategia de Sostenibilidad 2018-2019 Inmunovirología</t>
  </si>
  <si>
    <t>Estrategia para la sostenibilidad 2016-2017 Malaria</t>
  </si>
  <si>
    <t>Estrategia para la sostenibilidad 2018-2020 Óptica</t>
  </si>
  <si>
    <t>Estrategia para la sostenibilidad 2018-2019 Quirema</t>
  </si>
  <si>
    <t>Estrategia de Sostenibilidad 2020-2021 QOPN</t>
  </si>
  <si>
    <t>Evaluación del papel de la vitamina D en la expresión de receptores tipo Toll, citoquinas y microRNA en respuesta a la infección por los virus Chikungunya y Zika - Andrés Castillo</t>
  </si>
  <si>
    <t>08-1-697</t>
  </si>
  <si>
    <t>CIENCIA DE LOS MATERIALES</t>
  </si>
  <si>
    <t>Ganancia de peso gestacional de adolescentes latinoamericanas y su asociación con el peso al nacer del neonato</t>
  </si>
  <si>
    <t>46-1-969</t>
  </si>
  <si>
    <t>Estudio del efecto catalítico de un carbón mesoporoso en un cátodo para baterías sodio-aire</t>
  </si>
  <si>
    <t>ES84200122</t>
  </si>
  <si>
    <t>Ruben Alberto Palacio Olarte</t>
  </si>
  <si>
    <t>Publicaciones</t>
  </si>
  <si>
    <t>Inscripciones a evento</t>
  </si>
  <si>
    <t>Asistencia técnica</t>
  </si>
  <si>
    <t>Honorarios</t>
  </si>
  <si>
    <t>Flete</t>
  </si>
  <si>
    <t>Licencias/software</t>
  </si>
  <si>
    <t>¿CONTRAPARTIDA UDEA?</t>
  </si>
  <si>
    <t>Estrategia de sostenibilidad 2020-2021 grupo quirema</t>
  </si>
  <si>
    <t>ES84190055</t>
  </si>
  <si>
    <t>One Health Surveillance in the Colombian Pacific Coast- CV84200111</t>
  </si>
  <si>
    <t>32-1-985</t>
  </si>
  <si>
    <t>5-1-989</t>
  </si>
  <si>
    <t>Prueba de Prueba de Concepto para “Hidrogel cicatrizante</t>
  </si>
  <si>
    <t>Toxinología_Alternativas_Terapéuticas_y_Alimentarias</t>
  </si>
  <si>
    <t>64-1-971</t>
  </si>
  <si>
    <t>Evaluación de formulaciones nanoestructuradas de extractos de Cannabis encapsulados en micelas poliméricas para el tratamiento del dolor crónico</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</si>
  <si>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</si>
  <si>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</si>
  <si>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</si>
  <si>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</si>
  <si>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</si>
  <si>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</si>
  <si>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Sandra Lucía Restrepo Mesa</t>
  </si>
  <si>
    <t>Estado nutricional materno, ingesta dietética y microbiota de la leche materna</t>
  </si>
  <si>
    <t>46-1-970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</si>
</sst>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4">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0" fillId="0" borderId="0" xfId="0" applyAlignment="1" applyProtection="1">
      <alignment horizontal="center"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0" fillId="0" borderId="0" xfId="0" applyNumberForma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5" borderId="0" xfId="0" applyFont="1" applyFill="1" applyAlignment="1" applyProtection="1">
      <alignment vertical="center"/>
    </xf>
    <xf numFmtId="0" fontId="14" fillId="5" borderId="0" xfId="0" applyFont="1" applyFill="1" applyAlignment="1" applyProtection="1">
      <alignment horizontal="justify" vertical="center" wrapText="1"/>
    </xf>
    <xf numFmtId="0" fontId="14" fillId="5"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3"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4EE203E0-5A65-4B2B-BFC5-37761F2696AC}"/>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40" activePane="bottomLeft" state="frozen"/>
      <selection pane="bottomLeft" activeCell="P12" sqref="P12"/>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57"/>
      <c r="D1" s="57"/>
      <c r="E1" s="57"/>
      <c r="F1" s="57"/>
      <c r="G1" s="57"/>
      <c r="H1" s="57"/>
      <c r="I1" s="57"/>
      <c r="J1" s="57"/>
      <c r="K1" s="57"/>
      <c r="L1" s="57"/>
    </row>
    <row r="2" spans="1:16" ht="15" customHeight="1" x14ac:dyDescent="0.25">
      <c r="C2" s="72"/>
      <c r="D2" s="73"/>
      <c r="E2" s="73"/>
      <c r="F2" s="73"/>
      <c r="G2" s="73"/>
      <c r="H2" s="73"/>
      <c r="I2" s="73"/>
      <c r="J2" s="73"/>
      <c r="K2" s="73"/>
      <c r="L2" s="73"/>
    </row>
    <row r="3" spans="1:16" ht="18" customHeight="1" x14ac:dyDescent="0.25">
      <c r="A3" s="75"/>
      <c r="B3" s="75"/>
      <c r="C3" s="75"/>
      <c r="D3" s="76" t="s">
        <v>602</v>
      </c>
      <c r="E3" s="77"/>
      <c r="F3" s="77"/>
      <c r="G3" s="77"/>
      <c r="H3" s="77"/>
      <c r="I3" s="77"/>
      <c r="J3" s="77"/>
      <c r="K3" s="77"/>
      <c r="L3" s="78"/>
      <c r="O3" s="57"/>
      <c r="P3" s="57"/>
    </row>
    <row r="4" spans="1:16" ht="18" customHeight="1" x14ac:dyDescent="0.25">
      <c r="A4" s="75"/>
      <c r="B4" s="75"/>
      <c r="C4" s="75"/>
      <c r="D4" s="58" t="s">
        <v>0</v>
      </c>
      <c r="E4" s="59"/>
      <c r="F4" s="59"/>
      <c r="G4" s="59"/>
      <c r="H4" s="59"/>
      <c r="I4" s="59"/>
      <c r="J4" s="59"/>
      <c r="K4" s="59"/>
      <c r="L4" s="60"/>
      <c r="O4" s="57"/>
      <c r="P4" s="57"/>
    </row>
    <row r="5" spans="1:16" ht="18" customHeight="1" x14ac:dyDescent="0.25">
      <c r="A5" s="75"/>
      <c r="B5" s="75"/>
      <c r="C5" s="75"/>
      <c r="D5" s="58" t="s">
        <v>1</v>
      </c>
      <c r="E5" s="59"/>
      <c r="F5" s="59"/>
      <c r="G5" s="59"/>
      <c r="H5" s="59"/>
      <c r="I5" s="59"/>
      <c r="J5" s="59"/>
      <c r="K5" s="59"/>
      <c r="L5" s="60"/>
    </row>
    <row r="6" spans="1:16" ht="18" customHeight="1" x14ac:dyDescent="0.25">
      <c r="A6" s="75"/>
      <c r="B6" s="75"/>
      <c r="C6" s="75"/>
      <c r="D6" s="61" t="s">
        <v>2</v>
      </c>
      <c r="E6" s="62"/>
      <c r="F6" s="62"/>
      <c r="G6" s="62"/>
      <c r="H6" s="62"/>
      <c r="I6" s="62"/>
      <c r="J6" s="62"/>
      <c r="K6" s="62"/>
      <c r="L6" s="63"/>
    </row>
    <row r="7" spans="1:16" ht="20.100000000000001" customHeight="1" x14ac:dyDescent="0.25">
      <c r="C7" s="57"/>
      <c r="D7" s="57"/>
      <c r="E7" s="57"/>
      <c r="F7" s="57"/>
      <c r="G7" s="57"/>
      <c r="H7" s="57"/>
      <c r="I7" s="57"/>
      <c r="J7" s="57"/>
      <c r="K7" s="57"/>
      <c r="L7" s="57"/>
    </row>
    <row r="8" spans="1:16" s="2" customFormat="1" ht="30" customHeight="1" x14ac:dyDescent="0.25">
      <c r="A8" s="74" t="s">
        <v>90</v>
      </c>
      <c r="B8" s="74"/>
      <c r="C8" s="74" t="s">
        <v>3</v>
      </c>
      <c r="D8" s="74"/>
      <c r="E8" s="74" t="s">
        <v>4</v>
      </c>
      <c r="F8" s="74"/>
      <c r="G8" s="74" t="s">
        <v>5</v>
      </c>
      <c r="H8" s="74"/>
      <c r="I8" s="74" t="s">
        <v>72</v>
      </c>
      <c r="J8" s="74"/>
      <c r="K8" s="74" t="s">
        <v>73</v>
      </c>
      <c r="L8" s="74"/>
    </row>
    <row r="9" spans="1:16" ht="30" customHeight="1" x14ac:dyDescent="0.25">
      <c r="A9" s="68"/>
      <c r="B9" s="68"/>
      <c r="C9" s="68"/>
      <c r="D9" s="68"/>
      <c r="E9" s="68"/>
      <c r="F9" s="68"/>
      <c r="G9" s="80" t="str">
        <f>IF(E9="","",IFERROR(VLOOKUP(E9,Parámetros!H2:I234,2,FALSE),"No se encontró"))</f>
        <v/>
      </c>
      <c r="H9" s="80"/>
      <c r="I9" s="68"/>
      <c r="J9" s="68"/>
      <c r="K9" s="71"/>
      <c r="L9" s="71"/>
    </row>
    <row r="10" spans="1:16" ht="30" customHeight="1" x14ac:dyDescent="0.25">
      <c r="A10" s="68"/>
      <c r="B10" s="68"/>
      <c r="C10" s="68"/>
      <c r="D10" s="68"/>
      <c r="E10" s="68"/>
      <c r="F10" s="68"/>
      <c r="G10" s="80"/>
      <c r="H10" s="80"/>
      <c r="I10" s="68"/>
      <c r="J10" s="68"/>
      <c r="K10" s="71"/>
      <c r="L10" s="71"/>
    </row>
    <row r="11" spans="1:16" ht="30" customHeight="1" x14ac:dyDescent="0.25">
      <c r="A11" s="69" t="s">
        <v>74</v>
      </c>
      <c r="B11" s="69"/>
      <c r="C11" s="69"/>
      <c r="D11" s="69"/>
      <c r="E11" s="69"/>
      <c r="F11" s="69"/>
      <c r="G11" s="69"/>
      <c r="H11" s="69"/>
      <c r="I11" s="69"/>
      <c r="J11" s="69"/>
      <c r="K11" s="69"/>
      <c r="L11" s="69"/>
    </row>
    <row r="12" spans="1:16" ht="34.5" customHeight="1" x14ac:dyDescent="0.25">
      <c r="A12" s="85" t="s">
        <v>882</v>
      </c>
      <c r="B12" s="85"/>
      <c r="C12" s="85"/>
      <c r="D12" s="85"/>
      <c r="E12" s="85"/>
      <c r="F12" s="85"/>
      <c r="G12" s="85"/>
      <c r="H12" s="85"/>
      <c r="I12" s="85"/>
      <c r="J12" s="85"/>
      <c r="K12" s="85"/>
      <c r="L12" s="85"/>
    </row>
    <row r="13" spans="1:16" ht="40.5" customHeight="1" x14ac:dyDescent="0.25">
      <c r="A13" s="83" t="s">
        <v>15</v>
      </c>
      <c r="B13" s="84"/>
      <c r="C13" s="86"/>
      <c r="D13" s="87"/>
      <c r="E13" s="87"/>
      <c r="F13" s="87"/>
      <c r="G13" s="87"/>
      <c r="H13" s="87"/>
      <c r="I13" s="64" t="s">
        <v>867</v>
      </c>
      <c r="J13" s="64"/>
      <c r="K13" s="86"/>
      <c r="L13" s="88"/>
    </row>
    <row r="14" spans="1:16" ht="30" customHeight="1" x14ac:dyDescent="0.25">
      <c r="A14" s="64" t="s">
        <v>75</v>
      </c>
      <c r="B14" s="64"/>
      <c r="C14" s="65" t="str">
        <f>IF(C13="","",VLOOKUP(C13,Parámetros!C2:E255,2,FALSE))</f>
        <v/>
      </c>
      <c r="D14" s="65"/>
      <c r="E14" s="64" t="s">
        <v>16</v>
      </c>
      <c r="F14" s="64"/>
      <c r="G14" s="65" t="str">
        <f>IF(C13="","",VLOOKUP(C13,Parámetros!C2:E255,3,FALSE))</f>
        <v/>
      </c>
      <c r="H14" s="65"/>
      <c r="I14" s="64" t="s">
        <v>31</v>
      </c>
      <c r="J14" s="64"/>
      <c r="K14" s="81"/>
      <c r="L14" s="82"/>
    </row>
    <row r="15" spans="1:16" s="2" customFormat="1" ht="30" customHeight="1" x14ac:dyDescent="0.25">
      <c r="A15" s="66" t="s">
        <v>76</v>
      </c>
      <c r="B15" s="66"/>
      <c r="C15" s="66"/>
      <c r="D15" s="66"/>
      <c r="E15" s="66"/>
      <c r="F15" s="66"/>
      <c r="G15" s="66"/>
      <c r="H15" s="66"/>
      <c r="I15" s="66"/>
      <c r="J15" s="66"/>
      <c r="K15" s="66"/>
      <c r="L15" s="66"/>
    </row>
    <row r="16" spans="1:16" ht="30" customHeight="1" x14ac:dyDescent="0.25">
      <c r="A16" s="67" t="s">
        <v>300</v>
      </c>
      <c r="B16" s="67"/>
      <c r="C16" s="67"/>
      <c r="D16" s="67" t="s">
        <v>77</v>
      </c>
      <c r="E16" s="67"/>
      <c r="F16" s="67"/>
      <c r="G16" s="67"/>
      <c r="H16" s="67"/>
      <c r="I16" s="67"/>
      <c r="J16" s="67"/>
      <c r="K16" s="67" t="s">
        <v>78</v>
      </c>
      <c r="L16" s="67"/>
    </row>
    <row r="17" spans="1:12" ht="30" customHeight="1" x14ac:dyDescent="0.25">
      <c r="A17" s="79"/>
      <c r="B17" s="79"/>
      <c r="C17" s="79"/>
      <c r="D17" s="79"/>
      <c r="E17" s="79"/>
      <c r="F17" s="79"/>
      <c r="G17" s="79"/>
      <c r="H17" s="79"/>
      <c r="I17" s="79"/>
      <c r="J17" s="79"/>
      <c r="K17" s="68"/>
      <c r="L17" s="68"/>
    </row>
    <row r="18" spans="1:12" ht="30" customHeight="1" x14ac:dyDescent="0.25">
      <c r="A18" s="79"/>
      <c r="B18" s="79"/>
      <c r="C18" s="79"/>
      <c r="D18" s="79"/>
      <c r="E18" s="79"/>
      <c r="F18" s="79"/>
      <c r="G18" s="79"/>
      <c r="H18" s="79"/>
      <c r="I18" s="79"/>
      <c r="J18" s="79"/>
      <c r="K18" s="68"/>
      <c r="L18" s="68"/>
    </row>
    <row r="19" spans="1:12" ht="30" customHeight="1" x14ac:dyDescent="0.25">
      <c r="A19" s="79"/>
      <c r="B19" s="79"/>
      <c r="C19" s="79"/>
      <c r="D19" s="79"/>
      <c r="E19" s="79"/>
      <c r="F19" s="79"/>
      <c r="G19" s="79"/>
      <c r="H19" s="79"/>
      <c r="I19" s="79"/>
      <c r="J19" s="79"/>
      <c r="K19" s="68"/>
      <c r="L19" s="68"/>
    </row>
    <row r="20" spans="1:12" ht="30" customHeight="1" x14ac:dyDescent="0.25">
      <c r="A20" s="79"/>
      <c r="B20" s="79"/>
      <c r="C20" s="79"/>
      <c r="D20" s="79"/>
      <c r="E20" s="79"/>
      <c r="F20" s="79"/>
      <c r="G20" s="79"/>
      <c r="H20" s="79"/>
      <c r="I20" s="79"/>
      <c r="J20" s="79"/>
      <c r="K20" s="68"/>
      <c r="L20" s="68"/>
    </row>
    <row r="21" spans="1:12" ht="30" customHeight="1" x14ac:dyDescent="0.25">
      <c r="A21" s="79"/>
      <c r="B21" s="79"/>
      <c r="C21" s="79"/>
      <c r="D21" s="79"/>
      <c r="E21" s="79"/>
      <c r="F21" s="79"/>
      <c r="G21" s="79"/>
      <c r="H21" s="79"/>
      <c r="I21" s="79"/>
      <c r="J21" s="79"/>
      <c r="K21" s="68"/>
      <c r="L21" s="68"/>
    </row>
    <row r="22" spans="1:12" ht="30" customHeight="1" x14ac:dyDescent="0.25">
      <c r="A22" s="79"/>
      <c r="B22" s="79"/>
      <c r="C22" s="79"/>
      <c r="D22" s="79"/>
      <c r="E22" s="79"/>
      <c r="F22" s="79"/>
      <c r="G22" s="79"/>
      <c r="H22" s="79"/>
      <c r="I22" s="79"/>
      <c r="J22" s="79"/>
      <c r="K22" s="68"/>
      <c r="L22" s="68"/>
    </row>
    <row r="23" spans="1:12" ht="30" customHeight="1" x14ac:dyDescent="0.25">
      <c r="A23" s="79"/>
      <c r="B23" s="79"/>
      <c r="C23" s="79"/>
      <c r="D23" s="79"/>
      <c r="E23" s="79"/>
      <c r="F23" s="79"/>
      <c r="G23" s="79"/>
      <c r="H23" s="79"/>
      <c r="I23" s="79"/>
      <c r="J23" s="79"/>
      <c r="K23" s="68"/>
      <c r="L23" s="68"/>
    </row>
    <row r="24" spans="1:12" ht="30" customHeight="1" x14ac:dyDescent="0.25">
      <c r="A24" s="79"/>
      <c r="B24" s="79"/>
      <c r="C24" s="79"/>
      <c r="D24" s="79"/>
      <c r="E24" s="79"/>
      <c r="F24" s="79"/>
      <c r="G24" s="79"/>
      <c r="H24" s="79"/>
      <c r="I24" s="79"/>
      <c r="J24" s="79"/>
      <c r="K24" s="68"/>
      <c r="L24" s="68"/>
    </row>
    <row r="25" spans="1:12" ht="30" customHeight="1" x14ac:dyDescent="0.25">
      <c r="A25" s="79"/>
      <c r="B25" s="79"/>
      <c r="C25" s="79"/>
      <c r="D25" s="79"/>
      <c r="E25" s="79"/>
      <c r="F25" s="79"/>
      <c r="G25" s="79"/>
      <c r="H25" s="79"/>
      <c r="I25" s="79"/>
      <c r="J25" s="79"/>
      <c r="K25" s="68"/>
      <c r="L25" s="68"/>
    </row>
    <row r="26" spans="1:12" ht="30" customHeight="1" x14ac:dyDescent="0.25">
      <c r="A26" s="79"/>
      <c r="B26" s="79"/>
      <c r="C26" s="79"/>
      <c r="D26" s="79"/>
      <c r="E26" s="79"/>
      <c r="F26" s="79"/>
      <c r="G26" s="79"/>
      <c r="H26" s="79"/>
      <c r="I26" s="79"/>
      <c r="J26" s="79"/>
      <c r="K26" s="68"/>
      <c r="L26" s="68"/>
    </row>
    <row r="27" spans="1:12" ht="30" customHeight="1" x14ac:dyDescent="0.25">
      <c r="A27" s="79"/>
      <c r="B27" s="79"/>
      <c r="C27" s="79"/>
      <c r="D27" s="79"/>
      <c r="E27" s="79"/>
      <c r="F27" s="79"/>
      <c r="G27" s="79"/>
      <c r="H27" s="79"/>
      <c r="I27" s="79"/>
      <c r="J27" s="79"/>
      <c r="K27" s="68"/>
      <c r="L27" s="68"/>
    </row>
    <row r="28" spans="1:12" s="2" customFormat="1" ht="30" customHeight="1" x14ac:dyDescent="0.25">
      <c r="A28" s="66" t="s">
        <v>88</v>
      </c>
      <c r="B28" s="66"/>
      <c r="C28" s="66"/>
      <c r="D28" s="66"/>
      <c r="E28" s="66"/>
      <c r="F28" s="66"/>
      <c r="G28" s="66"/>
      <c r="H28" s="66"/>
      <c r="I28" s="66"/>
      <c r="J28" s="66"/>
      <c r="K28" s="66"/>
      <c r="L28" s="66"/>
    </row>
    <row r="29" spans="1:12" ht="30" customHeight="1" x14ac:dyDescent="0.25">
      <c r="A29" s="89"/>
      <c r="B29" s="89"/>
      <c r="C29" s="89"/>
      <c r="D29" s="89"/>
      <c r="E29" s="89"/>
      <c r="F29" s="89"/>
      <c r="G29" s="89"/>
      <c r="H29" s="89"/>
      <c r="I29" s="89"/>
      <c r="J29" s="89"/>
      <c r="K29" s="89"/>
      <c r="L29" s="89"/>
    </row>
    <row r="30" spans="1:12" ht="30" customHeight="1" x14ac:dyDescent="0.25">
      <c r="A30" s="66" t="s">
        <v>20</v>
      </c>
      <c r="B30" s="66"/>
      <c r="C30" s="66"/>
      <c r="D30" s="66"/>
      <c r="E30" s="66"/>
      <c r="F30" s="66"/>
      <c r="G30" s="66"/>
      <c r="H30" s="66"/>
      <c r="I30" s="66"/>
      <c r="J30" s="66"/>
      <c r="K30" s="66"/>
      <c r="L30" s="66"/>
    </row>
    <row r="31" spans="1:12" ht="30" customHeight="1" x14ac:dyDescent="0.25">
      <c r="A31" s="26" t="s">
        <v>18</v>
      </c>
      <c r="B31" s="25"/>
      <c r="C31" s="26" t="s">
        <v>19</v>
      </c>
      <c r="D31" s="25"/>
      <c r="E31" s="83"/>
      <c r="F31" s="92"/>
      <c r="G31" s="92"/>
      <c r="H31" s="92"/>
      <c r="I31" s="92"/>
      <c r="J31" s="92"/>
      <c r="K31" s="92"/>
      <c r="L31" s="84"/>
    </row>
    <row r="32" spans="1:12" ht="24" customHeight="1" x14ac:dyDescent="0.25">
      <c r="A32" s="75"/>
      <c r="B32" s="75"/>
      <c r="C32" s="75"/>
      <c r="D32" s="75"/>
      <c r="E32" s="75"/>
      <c r="F32" s="75"/>
      <c r="G32" s="75"/>
      <c r="H32" s="75"/>
      <c r="I32" s="75"/>
      <c r="J32" s="75"/>
      <c r="K32" s="75"/>
      <c r="L32" s="75"/>
    </row>
    <row r="33" spans="1:12" ht="30" customHeight="1" x14ac:dyDescent="0.25">
      <c r="A33" s="66" t="s">
        <v>24</v>
      </c>
      <c r="B33" s="66"/>
      <c r="C33" s="66"/>
      <c r="D33" s="66"/>
      <c r="E33" s="66"/>
      <c r="F33" s="66"/>
      <c r="G33" s="66"/>
      <c r="H33" s="66"/>
      <c r="I33" s="66"/>
      <c r="J33" s="66"/>
      <c r="K33" s="66"/>
      <c r="L33" s="66"/>
    </row>
    <row r="34" spans="1:12" ht="30" customHeight="1" x14ac:dyDescent="0.25">
      <c r="A34" s="26" t="s">
        <v>23</v>
      </c>
      <c r="B34" s="74" t="s">
        <v>21</v>
      </c>
      <c r="C34" s="74"/>
      <c r="D34" s="74" t="s">
        <v>22</v>
      </c>
      <c r="E34" s="74"/>
      <c r="F34" s="27" t="s">
        <v>6</v>
      </c>
      <c r="G34" s="74" t="s">
        <v>86</v>
      </c>
      <c r="H34" s="74"/>
      <c r="I34" s="74" t="s">
        <v>91</v>
      </c>
      <c r="J34" s="74"/>
      <c r="K34" s="74" t="s">
        <v>92</v>
      </c>
      <c r="L34" s="74"/>
    </row>
    <row r="35" spans="1:12" ht="30" customHeight="1" x14ac:dyDescent="0.25">
      <c r="A35" s="24">
        <v>1</v>
      </c>
      <c r="B35" s="36"/>
      <c r="C35" s="35"/>
      <c r="D35" s="71"/>
      <c r="E35" s="71"/>
      <c r="F35" s="30"/>
      <c r="G35" s="71"/>
      <c r="H35" s="71"/>
      <c r="I35" s="70"/>
      <c r="J35" s="70"/>
      <c r="K35" s="70"/>
      <c r="L35" s="70"/>
    </row>
    <row r="36" spans="1:12" ht="30" customHeight="1" x14ac:dyDescent="0.25">
      <c r="A36" s="24">
        <v>2</v>
      </c>
      <c r="B36" s="36"/>
      <c r="C36" s="35"/>
      <c r="D36" s="71"/>
      <c r="E36" s="71"/>
      <c r="F36" s="30"/>
      <c r="G36" s="71"/>
      <c r="H36" s="71"/>
      <c r="I36" s="70"/>
      <c r="J36" s="70"/>
      <c r="K36" s="70"/>
      <c r="L36" s="70"/>
    </row>
    <row r="37" spans="1:12" ht="30" customHeight="1" x14ac:dyDescent="0.25">
      <c r="A37" s="24">
        <v>3</v>
      </c>
      <c r="B37" s="36"/>
      <c r="C37" s="35"/>
      <c r="D37" s="71"/>
      <c r="E37" s="71"/>
      <c r="F37" s="30"/>
      <c r="G37" s="71"/>
      <c r="H37" s="71"/>
      <c r="I37" s="70"/>
      <c r="J37" s="70"/>
      <c r="K37" s="70"/>
      <c r="L37" s="70"/>
    </row>
    <row r="38" spans="1:12" ht="30" customHeight="1" x14ac:dyDescent="0.25">
      <c r="A38" s="24">
        <v>4</v>
      </c>
      <c r="B38" s="36"/>
      <c r="C38" s="35"/>
      <c r="D38" s="71"/>
      <c r="E38" s="71"/>
      <c r="F38" s="30"/>
      <c r="G38" s="71"/>
      <c r="H38" s="71"/>
      <c r="I38" s="70"/>
      <c r="J38" s="70"/>
      <c r="K38" s="70"/>
      <c r="L38" s="70"/>
    </row>
    <row r="39" spans="1:12" ht="22.5" customHeight="1" x14ac:dyDescent="0.25">
      <c r="A39" s="91" t="s">
        <v>87</v>
      </c>
      <c r="B39" s="91"/>
      <c r="C39" s="91"/>
      <c r="D39" s="91"/>
      <c r="E39" s="91"/>
      <c r="F39" s="91"/>
      <c r="G39" s="91"/>
      <c r="H39" s="91"/>
      <c r="I39" s="91"/>
      <c r="J39" s="91"/>
      <c r="K39" s="91"/>
      <c r="L39" s="91"/>
    </row>
    <row r="40" spans="1:12" ht="19.5" customHeight="1" x14ac:dyDescent="0.25">
      <c r="A40" s="91"/>
      <c r="B40" s="91"/>
      <c r="C40" s="91"/>
      <c r="D40" s="91"/>
      <c r="E40" s="91"/>
      <c r="F40" s="91"/>
      <c r="G40" s="91"/>
      <c r="H40" s="91"/>
      <c r="I40" s="91"/>
      <c r="J40" s="91"/>
      <c r="K40" s="91"/>
      <c r="L40" s="91"/>
    </row>
    <row r="41" spans="1:12" ht="30" customHeight="1" x14ac:dyDescent="0.25">
      <c r="A41" s="93" t="s">
        <v>56</v>
      </c>
      <c r="B41" s="93"/>
      <c r="C41" s="93"/>
      <c r="D41" s="93"/>
      <c r="E41" s="94"/>
      <c r="F41" s="95"/>
      <c r="G41" s="95"/>
      <c r="H41" s="96"/>
      <c r="I41" s="52" t="s">
        <v>57</v>
      </c>
      <c r="J41" s="53"/>
      <c r="K41" s="97" t="str">
        <f>IF(E41="","",SUM(VLOOKUP(E41,B35:L38,8,FALSE),VLOOKUP(E41,B35:L38,10,FALSE)))</f>
        <v/>
      </c>
      <c r="L41" s="97"/>
    </row>
    <row r="42" spans="1:12" ht="30" customHeight="1" x14ac:dyDescent="0.25">
      <c r="A42" s="52" t="s">
        <v>328</v>
      </c>
      <c r="B42" s="53"/>
      <c r="C42" s="54"/>
      <c r="D42" s="55"/>
      <c r="E42" s="55"/>
      <c r="F42" s="55"/>
      <c r="G42" s="55"/>
      <c r="H42" s="55"/>
      <c r="I42" s="55"/>
      <c r="J42" s="55"/>
      <c r="K42" s="55"/>
      <c r="L42" s="56"/>
    </row>
    <row r="43" spans="1:12" ht="30" customHeight="1" x14ac:dyDescent="0.25">
      <c r="A43" s="52" t="s">
        <v>329</v>
      </c>
      <c r="B43" s="53"/>
      <c r="C43" s="54"/>
      <c r="D43" s="55"/>
      <c r="E43" s="55"/>
      <c r="F43" s="55"/>
      <c r="G43" s="55"/>
      <c r="H43" s="55"/>
      <c r="I43" s="55"/>
      <c r="J43" s="55"/>
      <c r="K43" s="55"/>
      <c r="L43" s="56"/>
    </row>
    <row r="44" spans="1:12" ht="30" customHeight="1" x14ac:dyDescent="0.25">
      <c r="A44" s="52" t="s">
        <v>330</v>
      </c>
      <c r="B44" s="53"/>
      <c r="C44" s="54"/>
      <c r="D44" s="55"/>
      <c r="E44" s="55"/>
      <c r="F44" s="55"/>
      <c r="G44" s="55"/>
      <c r="H44" s="55"/>
      <c r="I44" s="55"/>
      <c r="J44" s="55"/>
      <c r="K44" s="55"/>
      <c r="L44" s="56"/>
    </row>
    <row r="45" spans="1:12" ht="30" customHeight="1" x14ac:dyDescent="0.25">
      <c r="A45" s="52" t="s">
        <v>331</v>
      </c>
      <c r="B45" s="53"/>
      <c r="C45" s="54"/>
      <c r="D45" s="55"/>
      <c r="E45" s="55"/>
      <c r="F45" s="55"/>
      <c r="G45" s="55"/>
      <c r="H45" s="55"/>
      <c r="I45" s="55"/>
      <c r="J45" s="55"/>
      <c r="K45" s="55"/>
      <c r="L45" s="56"/>
    </row>
    <row r="46" spans="1:12" ht="30" customHeight="1" x14ac:dyDescent="0.25">
      <c r="A46" s="66" t="s">
        <v>25</v>
      </c>
      <c r="B46" s="66"/>
      <c r="C46" s="66"/>
      <c r="D46" s="66"/>
      <c r="E46" s="66"/>
      <c r="F46" s="66"/>
      <c r="G46" s="66"/>
      <c r="H46" s="66"/>
      <c r="I46" s="66"/>
      <c r="J46" s="66"/>
      <c r="K46" s="66"/>
      <c r="L46" s="66"/>
    </row>
    <row r="47" spans="1:12" ht="30" customHeight="1" x14ac:dyDescent="0.25">
      <c r="A47" s="79"/>
      <c r="B47" s="79"/>
      <c r="C47" s="79"/>
      <c r="D47" s="79"/>
      <c r="E47" s="79"/>
      <c r="F47" s="79"/>
      <c r="G47" s="79"/>
      <c r="H47" s="79"/>
      <c r="I47" s="79"/>
      <c r="J47" s="79"/>
      <c r="K47" s="79"/>
      <c r="L47" s="79"/>
    </row>
    <row r="48" spans="1:12" ht="30" customHeight="1" x14ac:dyDescent="0.25">
      <c r="A48" s="79"/>
      <c r="B48" s="79"/>
      <c r="C48" s="79"/>
      <c r="D48" s="79"/>
      <c r="E48" s="79"/>
      <c r="F48" s="79"/>
      <c r="G48" s="79"/>
      <c r="H48" s="79"/>
      <c r="I48" s="79"/>
      <c r="J48" s="79"/>
      <c r="K48" s="79"/>
      <c r="L48" s="79"/>
    </row>
    <row r="49" spans="1:12" ht="30" customHeight="1" x14ac:dyDescent="0.25">
      <c r="A49" s="79"/>
      <c r="B49" s="79"/>
      <c r="C49" s="79"/>
      <c r="D49" s="79"/>
      <c r="E49" s="79"/>
      <c r="F49" s="79"/>
      <c r="G49" s="79"/>
      <c r="H49" s="79"/>
      <c r="I49" s="79"/>
      <c r="J49" s="79"/>
      <c r="K49" s="79"/>
      <c r="L49" s="79"/>
    </row>
    <row r="50" spans="1:12" ht="26.25" customHeight="1" x14ac:dyDescent="0.25">
      <c r="C50" s="72"/>
      <c r="D50" s="72"/>
      <c r="E50" s="72"/>
      <c r="F50" s="72"/>
      <c r="G50" s="72"/>
      <c r="H50" s="72"/>
      <c r="I50" s="72"/>
      <c r="J50" s="72"/>
      <c r="K50" s="72"/>
      <c r="L50" s="72"/>
    </row>
    <row r="51" spans="1:12" ht="30" customHeight="1" x14ac:dyDescent="0.25">
      <c r="A51" s="66" t="s">
        <v>26</v>
      </c>
      <c r="B51" s="66"/>
      <c r="C51" s="66"/>
      <c r="D51" s="66"/>
      <c r="E51" s="66"/>
      <c r="F51" s="66"/>
      <c r="G51" s="66"/>
      <c r="H51" s="66"/>
      <c r="I51" s="66"/>
      <c r="J51" s="66"/>
      <c r="K51" s="66"/>
      <c r="L51" s="66"/>
    </row>
    <row r="52" spans="1:12" ht="30" customHeight="1" x14ac:dyDescent="0.25">
      <c r="A52" s="90" t="s">
        <v>27</v>
      </c>
      <c r="B52" s="90"/>
      <c r="C52" s="90"/>
      <c r="D52" s="90"/>
      <c r="E52" s="90"/>
      <c r="F52" s="90"/>
      <c r="G52" s="90"/>
      <c r="H52" s="90"/>
      <c r="I52" s="90"/>
      <c r="J52" s="90"/>
      <c r="K52" s="90"/>
      <c r="L52" s="90"/>
    </row>
    <row r="53" spans="1:12" ht="30" customHeight="1" x14ac:dyDescent="0.25">
      <c r="A53" s="90"/>
      <c r="B53" s="90"/>
      <c r="C53" s="90"/>
      <c r="D53" s="90"/>
      <c r="E53" s="90"/>
      <c r="F53" s="90"/>
      <c r="G53" s="90"/>
      <c r="H53" s="90"/>
      <c r="I53" s="90"/>
      <c r="J53" s="90"/>
      <c r="K53" s="90"/>
      <c r="L53" s="90"/>
    </row>
    <row r="54" spans="1:12" ht="30" customHeight="1" x14ac:dyDescent="0.25">
      <c r="A54" s="90"/>
      <c r="B54" s="90"/>
      <c r="C54" s="90"/>
      <c r="D54" s="90"/>
      <c r="E54" s="90"/>
      <c r="F54" s="90"/>
      <c r="G54" s="90"/>
      <c r="H54" s="90"/>
      <c r="I54" s="90"/>
      <c r="J54" s="90"/>
      <c r="K54" s="90"/>
      <c r="L54" s="90"/>
    </row>
    <row r="55" spans="1:12" ht="30" customHeight="1" x14ac:dyDescent="0.25">
      <c r="A55" s="90"/>
      <c r="B55" s="90"/>
      <c r="C55" s="90"/>
      <c r="D55" s="90"/>
      <c r="E55" s="90"/>
      <c r="F55" s="90"/>
      <c r="G55" s="90"/>
      <c r="H55" s="90"/>
      <c r="I55" s="90"/>
      <c r="J55" s="90"/>
      <c r="K55" s="90"/>
      <c r="L55" s="90"/>
    </row>
  </sheetData>
  <sheetProtection algorithmName="SHA-512" hashValue="5g964BbXHbK3Iic2CuL0BN5vLFMyXh1mMB1yIOCG2fzj9Xn9wOUQ8olUOXqL14vKrF8V4DjK5PTS2tGYQZ5TBw==" saltValue="6YLU0g8QmF8ABls6pqc2Qw=="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C13">
      <formula1>INDIRECT($C$9)</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Parámetros!$F$2:$F$38</xm:f>
          </x14:formula1>
          <xm:sqref>A17:C27</xm:sqref>
        </x14:dataValidation>
        <x14:dataValidation type="list" allowBlank="1" showInputMessage="1" showErrorMessage="1">
          <x14:formula1>
            <xm:f>Parámetros!$G$2:$G$7</xm:f>
          </x14:formula1>
          <xm:sqref>C42:L44</xm:sqref>
        </x14:dataValidation>
        <x14:dataValidation type="list" allowBlank="1" showInputMessage="1" showErrorMessage="1">
          <x14:formula1>
            <xm:f>Parámetros!$H$2:$H$220</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57"/>
      <c r="B1" s="57"/>
      <c r="C1" s="57"/>
      <c r="D1" s="57"/>
      <c r="E1" s="57"/>
      <c r="F1" s="57"/>
      <c r="G1" s="57"/>
      <c r="H1" s="57"/>
      <c r="I1" s="57"/>
      <c r="J1" s="57"/>
    </row>
    <row r="2" spans="1:10" ht="15" customHeight="1" x14ac:dyDescent="0.25">
      <c r="A2" s="73"/>
      <c r="B2" s="73"/>
      <c r="C2" s="73"/>
      <c r="D2" s="73"/>
      <c r="E2" s="73"/>
      <c r="F2" s="73"/>
      <c r="G2" s="73"/>
      <c r="H2" s="73"/>
      <c r="I2" s="73"/>
      <c r="J2" s="73"/>
    </row>
    <row r="3" spans="1:10" ht="18" customHeight="1" x14ac:dyDescent="0.25">
      <c r="A3" s="75"/>
      <c r="B3" s="110" t="s">
        <v>30</v>
      </c>
      <c r="C3" s="110"/>
      <c r="D3" s="110"/>
      <c r="E3" s="110"/>
      <c r="F3" s="110"/>
      <c r="G3" s="110"/>
      <c r="H3" s="74" t="s">
        <v>31</v>
      </c>
      <c r="I3" s="74"/>
      <c r="J3" s="74"/>
    </row>
    <row r="4" spans="1:10" ht="18" customHeight="1" x14ac:dyDescent="0.25">
      <c r="A4" s="75"/>
      <c r="B4" s="111"/>
      <c r="C4" s="111"/>
      <c r="D4" s="111"/>
      <c r="E4" s="111"/>
      <c r="F4" s="111"/>
      <c r="G4" s="111"/>
      <c r="H4" s="74"/>
      <c r="I4" s="74"/>
      <c r="J4" s="74"/>
    </row>
    <row r="5" spans="1:10" ht="18" customHeight="1" x14ac:dyDescent="0.25">
      <c r="A5" s="75"/>
      <c r="B5" s="112" t="s">
        <v>29</v>
      </c>
      <c r="C5" s="112"/>
      <c r="D5" s="112"/>
      <c r="E5" s="112"/>
      <c r="F5" s="112"/>
      <c r="G5" s="112"/>
      <c r="H5" s="14" t="s">
        <v>32</v>
      </c>
      <c r="I5" s="14" t="s">
        <v>33</v>
      </c>
      <c r="J5" s="14" t="s">
        <v>34</v>
      </c>
    </row>
    <row r="6" spans="1:10" ht="18" customHeight="1" x14ac:dyDescent="0.25">
      <c r="A6" s="75"/>
      <c r="B6" s="113"/>
      <c r="C6" s="113"/>
      <c r="D6" s="113"/>
      <c r="E6" s="113"/>
      <c r="F6" s="113"/>
      <c r="G6" s="113"/>
      <c r="H6" s="21"/>
      <c r="I6" s="21"/>
      <c r="J6" s="21"/>
    </row>
    <row r="7" spans="1:10" s="2" customFormat="1" ht="26.1" customHeight="1" x14ac:dyDescent="0.25">
      <c r="A7" s="107" t="s">
        <v>36</v>
      </c>
      <c r="B7" s="66"/>
      <c r="C7" s="66"/>
      <c r="D7" s="66"/>
      <c r="E7" s="108"/>
      <c r="F7" s="108"/>
      <c r="G7" s="108"/>
      <c r="H7" s="69" t="s">
        <v>35</v>
      </c>
      <c r="I7" s="69"/>
      <c r="J7" s="69"/>
    </row>
    <row r="8" spans="1:10" ht="26.1" customHeight="1" x14ac:dyDescent="0.25">
      <c r="A8" s="66"/>
      <c r="B8" s="66"/>
      <c r="C8" s="66"/>
      <c r="D8" s="66"/>
      <c r="E8" s="108"/>
      <c r="F8" s="108"/>
      <c r="G8" s="108"/>
      <c r="H8" s="109"/>
      <c r="I8" s="109"/>
      <c r="J8" s="109"/>
    </row>
    <row r="9" spans="1:10" ht="26.1" customHeight="1" x14ac:dyDescent="0.25">
      <c r="A9" s="69" t="s">
        <v>37</v>
      </c>
      <c r="B9" s="69"/>
      <c r="C9" s="69"/>
      <c r="D9" s="69"/>
      <c r="E9" s="69"/>
      <c r="F9" s="69"/>
      <c r="G9" s="69"/>
      <c r="H9" s="69"/>
      <c r="I9" s="69"/>
      <c r="J9" s="69"/>
    </row>
    <row r="10" spans="1:10" ht="30" customHeight="1" x14ac:dyDescent="0.25">
      <c r="A10" s="98"/>
      <c r="B10" s="99"/>
      <c r="C10" s="99"/>
      <c r="D10" s="99"/>
      <c r="E10" s="99"/>
      <c r="F10" s="99"/>
      <c r="G10" s="99"/>
      <c r="H10" s="99"/>
      <c r="I10" s="99"/>
      <c r="J10" s="100"/>
    </row>
    <row r="11" spans="1:10" ht="30" customHeight="1" x14ac:dyDescent="0.25">
      <c r="A11" s="101"/>
      <c r="B11" s="102"/>
      <c r="C11" s="102"/>
      <c r="D11" s="102"/>
      <c r="E11" s="102"/>
      <c r="F11" s="102"/>
      <c r="G11" s="102"/>
      <c r="H11" s="102"/>
      <c r="I11" s="102"/>
      <c r="J11" s="103"/>
    </row>
    <row r="12" spans="1:10" ht="30" customHeight="1" x14ac:dyDescent="0.25">
      <c r="A12" s="101"/>
      <c r="B12" s="102"/>
      <c r="C12" s="102"/>
      <c r="D12" s="102"/>
      <c r="E12" s="102"/>
      <c r="F12" s="102"/>
      <c r="G12" s="102"/>
      <c r="H12" s="102"/>
      <c r="I12" s="102"/>
      <c r="J12" s="103"/>
    </row>
    <row r="13" spans="1:10" ht="30" customHeight="1" x14ac:dyDescent="0.25">
      <c r="A13" s="104"/>
      <c r="B13" s="105"/>
      <c r="C13" s="105"/>
      <c r="D13" s="105"/>
      <c r="E13" s="105"/>
      <c r="F13" s="105"/>
      <c r="G13" s="105"/>
      <c r="H13" s="105"/>
      <c r="I13" s="105"/>
      <c r="J13" s="106"/>
    </row>
    <row r="14" spans="1:10" ht="26.1" customHeight="1" x14ac:dyDescent="0.25">
      <c r="A14" s="69" t="s">
        <v>38</v>
      </c>
      <c r="B14" s="69"/>
      <c r="C14" s="69"/>
      <c r="D14" s="69"/>
      <c r="E14" s="69"/>
      <c r="F14" s="69"/>
      <c r="G14" s="69"/>
      <c r="H14" s="69"/>
      <c r="I14" s="69"/>
      <c r="J14" s="69"/>
    </row>
    <row r="15" spans="1:10" ht="30" customHeight="1" x14ac:dyDescent="0.25">
      <c r="A15" s="83" t="s">
        <v>77</v>
      </c>
      <c r="B15" s="92"/>
      <c r="C15" s="92"/>
      <c r="D15" s="92"/>
      <c r="E15" s="92"/>
      <c r="F15" s="92"/>
      <c r="G15" s="84"/>
      <c r="H15" s="83" t="s">
        <v>78</v>
      </c>
      <c r="I15" s="92"/>
      <c r="J15" s="84"/>
    </row>
    <row r="16" spans="1:10" ht="30" customHeight="1" x14ac:dyDescent="0.25">
      <c r="A16" s="115"/>
      <c r="B16" s="116"/>
      <c r="C16" s="116"/>
      <c r="D16" s="116"/>
      <c r="E16" s="116"/>
      <c r="F16" s="116"/>
      <c r="G16" s="117"/>
      <c r="H16" s="118"/>
      <c r="I16" s="119"/>
      <c r="J16" s="120"/>
    </row>
    <row r="17" spans="1:10" ht="30" customHeight="1" x14ac:dyDescent="0.25">
      <c r="A17" s="115"/>
      <c r="B17" s="116"/>
      <c r="C17" s="116"/>
      <c r="D17" s="116"/>
      <c r="E17" s="116"/>
      <c r="F17" s="116"/>
      <c r="G17" s="117"/>
      <c r="H17" s="118"/>
      <c r="I17" s="119"/>
      <c r="J17" s="120"/>
    </row>
    <row r="18" spans="1:10" ht="30" customHeight="1" x14ac:dyDescent="0.25">
      <c r="A18" s="115"/>
      <c r="B18" s="116"/>
      <c r="C18" s="116"/>
      <c r="D18" s="116"/>
      <c r="E18" s="116"/>
      <c r="F18" s="116"/>
      <c r="G18" s="117"/>
      <c r="H18" s="118"/>
      <c r="I18" s="119"/>
      <c r="J18" s="120"/>
    </row>
    <row r="19" spans="1:10" ht="30" customHeight="1" x14ac:dyDescent="0.25">
      <c r="A19" s="115"/>
      <c r="B19" s="116"/>
      <c r="C19" s="116"/>
      <c r="D19" s="116"/>
      <c r="E19" s="116"/>
      <c r="F19" s="116"/>
      <c r="G19" s="117"/>
      <c r="H19" s="118"/>
      <c r="I19" s="119"/>
      <c r="J19" s="120"/>
    </row>
    <row r="20" spans="1:10" ht="30" customHeight="1" x14ac:dyDescent="0.25">
      <c r="A20" s="115"/>
      <c r="B20" s="116"/>
      <c r="C20" s="116"/>
      <c r="D20" s="116"/>
      <c r="E20" s="116"/>
      <c r="F20" s="116"/>
      <c r="G20" s="117"/>
      <c r="H20" s="118"/>
      <c r="I20" s="119"/>
      <c r="J20" s="120"/>
    </row>
    <row r="21" spans="1:10" ht="30" customHeight="1" x14ac:dyDescent="0.25">
      <c r="A21" s="115"/>
      <c r="B21" s="116"/>
      <c r="C21" s="116"/>
      <c r="D21" s="116"/>
      <c r="E21" s="116"/>
      <c r="F21" s="116"/>
      <c r="G21" s="117"/>
      <c r="H21" s="118"/>
      <c r="I21" s="119"/>
      <c r="J21" s="120"/>
    </row>
    <row r="22" spans="1:10" ht="30" customHeight="1" x14ac:dyDescent="0.25">
      <c r="A22" s="115"/>
      <c r="B22" s="116"/>
      <c r="C22" s="116"/>
      <c r="D22" s="116"/>
      <c r="E22" s="116"/>
      <c r="F22" s="116"/>
      <c r="G22" s="117"/>
      <c r="H22" s="118"/>
      <c r="I22" s="119"/>
      <c r="J22" s="120"/>
    </row>
    <row r="23" spans="1:10" ht="30" customHeight="1" x14ac:dyDescent="0.25">
      <c r="A23" s="115"/>
      <c r="B23" s="116"/>
      <c r="C23" s="116"/>
      <c r="D23" s="116"/>
      <c r="E23" s="116"/>
      <c r="F23" s="116"/>
      <c r="G23" s="117"/>
      <c r="H23" s="118"/>
      <c r="I23" s="119"/>
      <c r="J23" s="120"/>
    </row>
    <row r="24" spans="1:10" ht="30" customHeight="1" x14ac:dyDescent="0.25">
      <c r="A24" s="115"/>
      <c r="B24" s="116"/>
      <c r="C24" s="116"/>
      <c r="D24" s="116"/>
      <c r="E24" s="116"/>
      <c r="F24" s="116"/>
      <c r="G24" s="117"/>
      <c r="H24" s="118"/>
      <c r="I24" s="119"/>
      <c r="J24" s="120"/>
    </row>
    <row r="25" spans="1:10" ht="30" customHeight="1" x14ac:dyDescent="0.25">
      <c r="A25" s="115"/>
      <c r="B25" s="116"/>
      <c r="C25" s="116"/>
      <c r="D25" s="116"/>
      <c r="E25" s="116"/>
      <c r="F25" s="116"/>
      <c r="G25" s="117"/>
      <c r="H25" s="118"/>
      <c r="I25" s="119"/>
      <c r="J25" s="120"/>
    </row>
    <row r="26" spans="1:10" ht="30" customHeight="1" x14ac:dyDescent="0.25">
      <c r="A26" s="115"/>
      <c r="B26" s="116"/>
      <c r="C26" s="116"/>
      <c r="D26" s="116"/>
      <c r="E26" s="116"/>
      <c r="F26" s="116"/>
      <c r="G26" s="117"/>
      <c r="H26" s="118"/>
      <c r="I26" s="119"/>
      <c r="J26" s="120"/>
    </row>
    <row r="27" spans="1:10" ht="26.1" customHeight="1" x14ac:dyDescent="0.25">
      <c r="A27" s="69" t="s">
        <v>39</v>
      </c>
      <c r="B27" s="69"/>
      <c r="C27" s="69"/>
      <c r="D27" s="69"/>
      <c r="E27" s="69"/>
      <c r="F27" s="69"/>
      <c r="G27" s="69"/>
      <c r="H27" s="69"/>
      <c r="I27" s="69"/>
      <c r="J27" s="69"/>
    </row>
    <row r="28" spans="1:10" ht="24.95" customHeight="1" x14ac:dyDescent="0.25">
      <c r="A28" s="15" t="s">
        <v>40</v>
      </c>
      <c r="B28" s="121" t="s">
        <v>41</v>
      </c>
      <c r="C28" s="121"/>
      <c r="D28" s="121"/>
      <c r="E28" s="121"/>
      <c r="F28" s="121"/>
      <c r="G28" s="121"/>
      <c r="H28" s="121"/>
      <c r="I28" s="121"/>
      <c r="J28" s="122"/>
    </row>
    <row r="29" spans="1:10" ht="24.95" customHeight="1" x14ac:dyDescent="0.25">
      <c r="A29" s="127" t="s">
        <v>42</v>
      </c>
      <c r="B29" s="128"/>
      <c r="C29" s="128"/>
      <c r="D29" s="128"/>
      <c r="E29" s="128"/>
      <c r="F29" s="128"/>
      <c r="G29" s="128"/>
      <c r="H29" s="128"/>
      <c r="I29" s="128"/>
      <c r="J29" s="129"/>
    </row>
    <row r="30" spans="1:10" ht="24.95" customHeight="1" x14ac:dyDescent="0.25">
      <c r="A30" s="69" t="s">
        <v>89</v>
      </c>
      <c r="B30" s="69"/>
      <c r="C30" s="69"/>
      <c r="D30" s="69"/>
      <c r="E30" s="69"/>
      <c r="F30" s="69"/>
      <c r="G30" s="69"/>
      <c r="H30" s="69"/>
      <c r="I30" s="69"/>
      <c r="J30" s="69"/>
    </row>
    <row r="31" spans="1:10" ht="24.95" customHeight="1" x14ac:dyDescent="0.25">
      <c r="A31" s="114"/>
      <c r="B31" s="114"/>
      <c r="C31" s="114"/>
      <c r="D31" s="114"/>
      <c r="E31" s="114"/>
      <c r="F31" s="114"/>
      <c r="G31" s="114"/>
      <c r="H31" s="114"/>
      <c r="I31" s="114"/>
      <c r="J31" s="114"/>
    </row>
    <row r="32" spans="1:10" ht="24.95" customHeight="1" x14ac:dyDescent="0.25">
      <c r="A32" s="69" t="s">
        <v>43</v>
      </c>
      <c r="B32" s="69"/>
      <c r="C32" s="69"/>
      <c r="D32" s="69"/>
      <c r="E32" s="69"/>
      <c r="F32" s="69"/>
      <c r="G32" s="69"/>
      <c r="H32" s="69"/>
      <c r="I32" s="69"/>
      <c r="J32" s="69"/>
    </row>
    <row r="33" spans="1:10" ht="24.95" customHeight="1" x14ac:dyDescent="0.25">
      <c r="A33" s="20" t="s">
        <v>18</v>
      </c>
      <c r="B33" s="19"/>
      <c r="C33" s="20" t="s">
        <v>19</v>
      </c>
      <c r="D33" s="3"/>
      <c r="E33" s="125"/>
      <c r="F33" s="125"/>
      <c r="G33" s="125"/>
      <c r="H33" s="125"/>
      <c r="I33" s="125"/>
      <c r="J33" s="125"/>
    </row>
    <row r="34" spans="1:10" ht="24.95" customHeight="1" x14ac:dyDescent="0.25">
      <c r="A34" s="69" t="s">
        <v>44</v>
      </c>
      <c r="B34" s="69"/>
      <c r="C34" s="69"/>
      <c r="D34" s="69"/>
      <c r="E34" s="69"/>
      <c r="F34" s="69"/>
      <c r="G34" s="69"/>
      <c r="H34" s="69"/>
      <c r="I34" s="69"/>
      <c r="J34" s="69"/>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45</v>
      </c>
      <c r="C38" s="126"/>
      <c r="D38" s="126"/>
      <c r="E38" s="126"/>
      <c r="F38" s="16" t="s">
        <v>45</v>
      </c>
      <c r="G38" s="123" t="s">
        <v>41</v>
      </c>
      <c r="H38" s="123"/>
      <c r="I38" s="123"/>
      <c r="J38" s="124"/>
    </row>
    <row r="39" spans="1:10" ht="24.95" customHeight="1" x14ac:dyDescent="0.25">
      <c r="A39" s="10"/>
      <c r="B39" s="16" t="s">
        <v>46</v>
      </c>
      <c r="C39" s="126"/>
      <c r="D39" s="126"/>
      <c r="E39" s="126"/>
      <c r="F39" s="16" t="s">
        <v>46</v>
      </c>
      <c r="G39" s="123" t="s">
        <v>47</v>
      </c>
      <c r="H39" s="123"/>
      <c r="I39" s="123"/>
      <c r="J39" s="124"/>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23" t="s">
        <v>48</v>
      </c>
      <c r="C43" s="123"/>
      <c r="D43" s="123"/>
      <c r="E43" s="123"/>
      <c r="F43" s="123" t="s">
        <v>49</v>
      </c>
      <c r="G43" s="123"/>
      <c r="H43" s="123"/>
      <c r="I43" s="123"/>
      <c r="J43" s="124"/>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5"/>
      <c r="B3" s="110" t="s">
        <v>50</v>
      </c>
      <c r="C3" s="110"/>
      <c r="D3" s="110"/>
      <c r="E3" s="110"/>
      <c r="F3" s="110"/>
      <c r="G3" s="140"/>
      <c r="H3" s="74" t="s">
        <v>31</v>
      </c>
      <c r="I3" s="74"/>
      <c r="J3" s="74"/>
    </row>
    <row r="4" spans="1:10" ht="18" customHeight="1" x14ac:dyDescent="0.3">
      <c r="A4" s="75"/>
      <c r="B4" s="111" t="s">
        <v>51</v>
      </c>
      <c r="C4" s="111"/>
      <c r="D4" s="111"/>
      <c r="E4" s="111"/>
      <c r="F4" s="111"/>
      <c r="G4" s="141"/>
      <c r="H4" s="74"/>
      <c r="I4" s="74"/>
      <c r="J4" s="74"/>
    </row>
    <row r="5" spans="1:10" ht="18" customHeight="1" x14ac:dyDescent="0.3">
      <c r="A5" s="75"/>
      <c r="B5" s="142" t="s">
        <v>52</v>
      </c>
      <c r="C5" s="142"/>
      <c r="D5" s="142"/>
      <c r="E5" s="142"/>
      <c r="F5" s="142"/>
      <c r="G5" s="143"/>
      <c r="H5" s="14" t="s">
        <v>32</v>
      </c>
      <c r="I5" s="14" t="s">
        <v>33</v>
      </c>
      <c r="J5" s="14" t="s">
        <v>34</v>
      </c>
    </row>
    <row r="6" spans="1:10" ht="18" customHeight="1" x14ac:dyDescent="0.25">
      <c r="A6" s="75"/>
      <c r="B6" s="113" t="s">
        <v>53</v>
      </c>
      <c r="C6" s="113"/>
      <c r="D6" s="113"/>
      <c r="E6" s="113"/>
      <c r="F6" s="113"/>
      <c r="G6" s="144"/>
      <c r="H6" s="28"/>
      <c r="I6" s="28"/>
      <c r="J6" s="28"/>
    </row>
    <row r="7" spans="1:10" ht="26.1" customHeight="1" x14ac:dyDescent="0.25">
      <c r="A7" s="138" t="s">
        <v>54</v>
      </c>
      <c r="B7" s="138"/>
      <c r="C7" s="138"/>
      <c r="D7" s="138"/>
      <c r="E7" s="138"/>
      <c r="F7" s="138"/>
      <c r="G7" s="138"/>
      <c r="H7" s="138"/>
      <c r="I7" s="138"/>
      <c r="J7" s="138"/>
    </row>
    <row r="8" spans="1:10" ht="26.1" customHeight="1" x14ac:dyDescent="0.25">
      <c r="A8" s="138"/>
      <c r="B8" s="138"/>
      <c r="C8" s="138"/>
      <c r="D8" s="138"/>
      <c r="E8" s="138"/>
      <c r="F8" s="138"/>
      <c r="G8" s="138"/>
      <c r="H8" s="138"/>
      <c r="I8" s="138"/>
      <c r="J8" s="138"/>
    </row>
    <row r="9" spans="1:10" ht="26.1" customHeight="1" x14ac:dyDescent="0.25">
      <c r="A9" s="138"/>
      <c r="B9" s="138"/>
      <c r="C9" s="138"/>
      <c r="D9" s="138"/>
      <c r="E9" s="138"/>
      <c r="F9" s="138"/>
      <c r="G9" s="138"/>
      <c r="H9" s="138"/>
      <c r="I9" s="138"/>
      <c r="J9" s="138"/>
    </row>
    <row r="10" spans="1:10" ht="26.1" customHeight="1" x14ac:dyDescent="0.25">
      <c r="A10" s="69" t="s">
        <v>17</v>
      </c>
      <c r="B10" s="69"/>
      <c r="C10" s="69"/>
      <c r="D10" s="69"/>
      <c r="E10" s="69"/>
      <c r="F10" s="69"/>
      <c r="G10" s="69"/>
      <c r="H10" s="69"/>
      <c r="I10" s="69"/>
      <c r="J10" s="69"/>
    </row>
    <row r="11" spans="1:10" ht="30" customHeight="1" x14ac:dyDescent="0.25">
      <c r="A11" s="83" t="s">
        <v>77</v>
      </c>
      <c r="B11" s="92"/>
      <c r="C11" s="92"/>
      <c r="D11" s="92"/>
      <c r="E11" s="92"/>
      <c r="F11" s="92"/>
      <c r="G11" s="84"/>
      <c r="H11" s="83" t="s">
        <v>78</v>
      </c>
      <c r="I11" s="92"/>
      <c r="J11" s="84"/>
    </row>
    <row r="12" spans="1:10" ht="30" customHeight="1" x14ac:dyDescent="0.25">
      <c r="A12" s="115"/>
      <c r="B12" s="116"/>
      <c r="C12" s="116"/>
      <c r="D12" s="116"/>
      <c r="E12" s="116"/>
      <c r="F12" s="116"/>
      <c r="G12" s="117"/>
      <c r="H12" s="118"/>
      <c r="I12" s="119"/>
      <c r="J12" s="120"/>
    </row>
    <row r="13" spans="1:10" ht="30" customHeight="1" x14ac:dyDescent="0.25">
      <c r="A13" s="115"/>
      <c r="B13" s="116"/>
      <c r="C13" s="116"/>
      <c r="D13" s="116"/>
      <c r="E13" s="116"/>
      <c r="F13" s="116"/>
      <c r="G13" s="117"/>
      <c r="H13" s="118"/>
      <c r="I13" s="119"/>
      <c r="J13" s="120"/>
    </row>
    <row r="14" spans="1:10" ht="30" customHeight="1" x14ac:dyDescent="0.25">
      <c r="A14" s="115"/>
      <c r="B14" s="116"/>
      <c r="C14" s="116"/>
      <c r="D14" s="116"/>
      <c r="E14" s="116"/>
      <c r="F14" s="116"/>
      <c r="G14" s="117"/>
      <c r="H14" s="118"/>
      <c r="I14" s="119"/>
      <c r="J14" s="120"/>
    </row>
    <row r="15" spans="1:10" ht="30" customHeight="1" x14ac:dyDescent="0.25">
      <c r="A15" s="115"/>
      <c r="B15" s="116"/>
      <c r="C15" s="116"/>
      <c r="D15" s="116"/>
      <c r="E15" s="116"/>
      <c r="F15" s="116"/>
      <c r="G15" s="117"/>
      <c r="H15" s="118"/>
      <c r="I15" s="119"/>
      <c r="J15" s="120"/>
    </row>
    <row r="16" spans="1:10" ht="30" customHeight="1" x14ac:dyDescent="0.25">
      <c r="A16" s="115"/>
      <c r="B16" s="116"/>
      <c r="C16" s="116"/>
      <c r="D16" s="116"/>
      <c r="E16" s="116"/>
      <c r="F16" s="116"/>
      <c r="G16" s="117"/>
      <c r="H16" s="118"/>
      <c r="I16" s="119"/>
      <c r="J16" s="120"/>
    </row>
    <row r="17" spans="1:10" ht="30" customHeight="1" x14ac:dyDescent="0.25">
      <c r="A17" s="115"/>
      <c r="B17" s="116"/>
      <c r="C17" s="116"/>
      <c r="D17" s="116"/>
      <c r="E17" s="116"/>
      <c r="F17" s="116"/>
      <c r="G17" s="117"/>
      <c r="H17" s="118"/>
      <c r="I17" s="119"/>
      <c r="J17" s="120"/>
    </row>
    <row r="18" spans="1:10" ht="30" customHeight="1" x14ac:dyDescent="0.25">
      <c r="A18" s="115"/>
      <c r="B18" s="116"/>
      <c r="C18" s="116"/>
      <c r="D18" s="116"/>
      <c r="E18" s="116"/>
      <c r="F18" s="116"/>
      <c r="G18" s="117"/>
      <c r="H18" s="118"/>
      <c r="I18" s="119"/>
      <c r="J18" s="120"/>
    </row>
    <row r="19" spans="1:10" ht="30" customHeight="1" x14ac:dyDescent="0.25">
      <c r="A19" s="115"/>
      <c r="B19" s="116"/>
      <c r="C19" s="116"/>
      <c r="D19" s="116"/>
      <c r="E19" s="116"/>
      <c r="F19" s="116"/>
      <c r="G19" s="117"/>
      <c r="H19" s="118"/>
      <c r="I19" s="119"/>
      <c r="J19" s="120"/>
    </row>
    <row r="20" spans="1:10" ht="30" customHeight="1" x14ac:dyDescent="0.25">
      <c r="A20" s="115"/>
      <c r="B20" s="116"/>
      <c r="C20" s="116"/>
      <c r="D20" s="116"/>
      <c r="E20" s="116"/>
      <c r="F20" s="116"/>
      <c r="G20" s="117"/>
      <c r="H20" s="118"/>
      <c r="I20" s="119"/>
      <c r="J20" s="120"/>
    </row>
    <row r="21" spans="1:10" ht="30" customHeight="1" x14ac:dyDescent="0.25">
      <c r="A21" s="115"/>
      <c r="B21" s="116"/>
      <c r="C21" s="116"/>
      <c r="D21" s="116"/>
      <c r="E21" s="116"/>
      <c r="F21" s="116"/>
      <c r="G21" s="117"/>
      <c r="H21" s="118"/>
      <c r="I21" s="119"/>
      <c r="J21" s="120"/>
    </row>
    <row r="22" spans="1:10" ht="30" customHeight="1" x14ac:dyDescent="0.25">
      <c r="A22" s="115"/>
      <c r="B22" s="116"/>
      <c r="C22" s="116"/>
      <c r="D22" s="116"/>
      <c r="E22" s="116"/>
      <c r="F22" s="116"/>
      <c r="G22" s="117"/>
      <c r="H22" s="118"/>
      <c r="I22" s="119"/>
      <c r="J22" s="120"/>
    </row>
    <row r="23" spans="1:10" ht="26.1" customHeight="1" x14ac:dyDescent="0.25">
      <c r="A23" s="69" t="s">
        <v>55</v>
      </c>
      <c r="B23" s="69"/>
      <c r="C23" s="69"/>
      <c r="D23" s="69"/>
      <c r="E23" s="69"/>
      <c r="F23" s="69"/>
      <c r="G23" s="69"/>
      <c r="H23" s="69"/>
      <c r="I23" s="69"/>
      <c r="J23" s="69"/>
    </row>
    <row r="24" spans="1:10" ht="30" customHeight="1" x14ac:dyDescent="0.25">
      <c r="A24" s="26" t="s">
        <v>23</v>
      </c>
      <c r="B24" s="139" t="s">
        <v>21</v>
      </c>
      <c r="C24" s="139"/>
      <c r="D24" s="139"/>
      <c r="E24" s="74" t="s">
        <v>6</v>
      </c>
      <c r="F24" s="74"/>
      <c r="G24" s="74" t="s">
        <v>22</v>
      </c>
      <c r="H24" s="74"/>
      <c r="I24" s="67" t="s">
        <v>93</v>
      </c>
      <c r="J24" s="67"/>
    </row>
    <row r="25" spans="1:10" ht="26.1" customHeight="1" x14ac:dyDescent="0.25">
      <c r="A25" s="31">
        <v>1</v>
      </c>
      <c r="B25" s="133"/>
      <c r="C25" s="134"/>
      <c r="D25" s="135"/>
      <c r="E25" s="120"/>
      <c r="F25" s="71"/>
      <c r="G25" s="71"/>
      <c r="H25" s="71"/>
      <c r="I25" s="70"/>
      <c r="J25" s="70"/>
    </row>
    <row r="26" spans="1:10" ht="26.1" customHeight="1" x14ac:dyDescent="0.25">
      <c r="A26" s="24">
        <v>2</v>
      </c>
      <c r="B26" s="133"/>
      <c r="C26" s="134"/>
      <c r="D26" s="135"/>
      <c r="E26" s="71"/>
      <c r="F26" s="71"/>
      <c r="G26" s="71"/>
      <c r="H26" s="71"/>
      <c r="I26" s="70"/>
      <c r="J26" s="70"/>
    </row>
    <row r="27" spans="1:10" ht="26.1" customHeight="1" x14ac:dyDescent="0.25">
      <c r="A27" s="24">
        <v>3</v>
      </c>
      <c r="B27" s="133"/>
      <c r="C27" s="134"/>
      <c r="D27" s="135"/>
      <c r="E27" s="71"/>
      <c r="F27" s="71"/>
      <c r="G27" s="71"/>
      <c r="H27" s="71"/>
      <c r="I27" s="70"/>
      <c r="J27" s="70"/>
    </row>
    <row r="28" spans="1:10" ht="26.1" customHeight="1" x14ac:dyDescent="0.25">
      <c r="A28" s="24">
        <v>4</v>
      </c>
      <c r="B28" s="133"/>
      <c r="C28" s="134"/>
      <c r="D28" s="135"/>
      <c r="E28" s="71"/>
      <c r="F28" s="71"/>
      <c r="G28" s="71"/>
      <c r="H28" s="71"/>
      <c r="I28" s="70"/>
      <c r="J28" s="70"/>
    </row>
    <row r="29" spans="1:10" s="17" customFormat="1" ht="26.1" customHeight="1" x14ac:dyDescent="0.25">
      <c r="A29" s="93" t="s">
        <v>56</v>
      </c>
      <c r="B29" s="93"/>
      <c r="C29" s="93"/>
      <c r="D29" s="93"/>
      <c r="E29" s="136"/>
      <c r="F29" s="137"/>
      <c r="G29" s="52" t="s">
        <v>57</v>
      </c>
      <c r="H29" s="53"/>
      <c r="I29" s="97" t="str">
        <f>IF(E29="","",VLOOKUP(E29,B25:I28,8,FALSE))</f>
        <v/>
      </c>
      <c r="J29" s="97"/>
    </row>
    <row r="30" spans="1:10" s="17" customFormat="1" ht="26.1" customHeight="1" x14ac:dyDescent="0.25">
      <c r="A30" s="52" t="s">
        <v>328</v>
      </c>
      <c r="B30" s="53"/>
      <c r="C30" s="130"/>
      <c r="D30" s="131"/>
      <c r="E30" s="131"/>
      <c r="F30" s="131"/>
      <c r="G30" s="131"/>
      <c r="H30" s="131"/>
      <c r="I30" s="131"/>
      <c r="J30" s="132"/>
    </row>
    <row r="31" spans="1:10" s="17" customFormat="1" ht="26.1" customHeight="1" x14ac:dyDescent="0.25">
      <c r="A31" s="52" t="s">
        <v>329</v>
      </c>
      <c r="B31" s="53"/>
      <c r="C31" s="130"/>
      <c r="D31" s="131"/>
      <c r="E31" s="131"/>
      <c r="F31" s="131"/>
      <c r="G31" s="131"/>
      <c r="H31" s="131"/>
      <c r="I31" s="131"/>
      <c r="J31" s="132"/>
    </row>
    <row r="32" spans="1:10" s="17" customFormat="1" ht="26.1" customHeight="1" x14ac:dyDescent="0.25">
      <c r="A32" s="52" t="s">
        <v>330</v>
      </c>
      <c r="B32" s="53"/>
      <c r="C32" s="130"/>
      <c r="D32" s="131"/>
      <c r="E32" s="131"/>
      <c r="F32" s="131"/>
      <c r="G32" s="131"/>
      <c r="H32" s="131"/>
      <c r="I32" s="131"/>
      <c r="J32" s="132"/>
    </row>
    <row r="33" spans="1:10" s="17" customFormat="1" ht="26.1" customHeight="1" x14ac:dyDescent="0.25">
      <c r="A33" s="52" t="s">
        <v>331</v>
      </c>
      <c r="B33" s="53"/>
      <c r="C33" s="130"/>
      <c r="D33" s="131"/>
      <c r="E33" s="131"/>
      <c r="F33" s="131"/>
      <c r="G33" s="131"/>
      <c r="H33" s="131"/>
      <c r="I33" s="131"/>
      <c r="J33" s="132"/>
    </row>
    <row r="34" spans="1:10" ht="26.1" customHeight="1" x14ac:dyDescent="0.25">
      <c r="A34" s="69" t="s">
        <v>25</v>
      </c>
      <c r="B34" s="69"/>
      <c r="C34" s="69"/>
      <c r="D34" s="69"/>
      <c r="E34" s="69"/>
      <c r="F34" s="69"/>
      <c r="G34" s="69"/>
      <c r="H34" s="69"/>
      <c r="I34" s="69"/>
      <c r="J34" s="69"/>
    </row>
    <row r="35" spans="1:10" ht="26.1" customHeight="1" x14ac:dyDescent="0.25">
      <c r="A35" s="154"/>
      <c r="B35" s="155"/>
      <c r="C35" s="155"/>
      <c r="D35" s="155"/>
      <c r="E35" s="155"/>
      <c r="F35" s="155"/>
      <c r="G35" s="155"/>
      <c r="H35" s="155"/>
      <c r="I35" s="155"/>
      <c r="J35" s="156"/>
    </row>
    <row r="36" spans="1:10" ht="26.1" customHeight="1" x14ac:dyDescent="0.25">
      <c r="A36" s="157"/>
      <c r="B36" s="158"/>
      <c r="C36" s="158"/>
      <c r="D36" s="158"/>
      <c r="E36" s="158"/>
      <c r="F36" s="158"/>
      <c r="G36" s="158"/>
      <c r="H36" s="158"/>
      <c r="I36" s="158"/>
      <c r="J36" s="159"/>
    </row>
    <row r="37" spans="1:10" ht="26.1" customHeight="1" x14ac:dyDescent="0.25">
      <c r="A37" s="160"/>
      <c r="B37" s="161"/>
      <c r="C37" s="161"/>
      <c r="D37" s="161"/>
      <c r="E37" s="161"/>
      <c r="F37" s="161"/>
      <c r="G37" s="161"/>
      <c r="H37" s="161"/>
      <c r="I37" s="161"/>
      <c r="J37" s="162"/>
    </row>
    <row r="38" spans="1:10" s="2" customFormat="1" ht="26.1" customHeight="1" x14ac:dyDescent="0.25">
      <c r="A38" s="93" t="s">
        <v>58</v>
      </c>
      <c r="B38" s="93"/>
      <c r="C38" s="108"/>
      <c r="D38" s="108"/>
      <c r="E38" s="163" t="s">
        <v>59</v>
      </c>
      <c r="F38" s="163"/>
      <c r="G38" s="151"/>
      <c r="H38" s="152"/>
      <c r="I38" s="152"/>
      <c r="J38" s="153"/>
    </row>
    <row r="39" spans="1:10" s="2" customFormat="1" ht="26.1" customHeight="1" x14ac:dyDescent="0.25">
      <c r="A39" s="93" t="s">
        <v>60</v>
      </c>
      <c r="B39" s="93"/>
      <c r="C39" s="109"/>
      <c r="D39" s="109"/>
      <c r="E39" s="93" t="s">
        <v>61</v>
      </c>
      <c r="F39" s="93"/>
      <c r="G39" s="109"/>
      <c r="H39" s="109"/>
      <c r="I39" s="109"/>
      <c r="J39" s="109"/>
    </row>
    <row r="40" spans="1:10" s="2" customFormat="1" ht="26.1" customHeight="1" x14ac:dyDescent="0.25">
      <c r="A40" s="145"/>
      <c r="B40" s="146"/>
      <c r="C40" s="146"/>
      <c r="D40" s="146"/>
      <c r="E40" s="146"/>
      <c r="F40" s="146"/>
      <c r="G40" s="146"/>
      <c r="H40" s="146"/>
      <c r="I40" s="146"/>
      <c r="J40" s="147"/>
    </row>
    <row r="41" spans="1:10" s="2" customFormat="1" ht="26.1" customHeight="1" x14ac:dyDescent="0.25">
      <c r="A41" s="148"/>
      <c r="B41" s="149"/>
      <c r="C41" s="149"/>
      <c r="D41" s="149"/>
      <c r="E41" s="149"/>
      <c r="F41" s="149"/>
      <c r="G41" s="149"/>
      <c r="H41" s="149"/>
      <c r="I41" s="149"/>
      <c r="J41" s="150"/>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Parámetros!$G$2:$G$7</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747"/>
  <sheetViews>
    <sheetView workbookViewId="0">
      <selection activeCell="E12" sqref="E12"/>
    </sheetView>
  </sheetViews>
  <sheetFormatPr baseColWidth="10" defaultColWidth="11.42578125" defaultRowHeight="15" x14ac:dyDescent="0.25"/>
  <cols>
    <col min="1" max="1" width="28.5703125" style="40" bestFit="1" customWidth="1"/>
    <col min="2" max="2" width="44.7109375" style="40" bestFit="1" customWidth="1"/>
    <col min="3" max="3" width="102.42578125" style="40" customWidth="1"/>
    <col min="4" max="4" width="19.42578125" style="39" bestFit="1" customWidth="1"/>
    <col min="5" max="5" width="16.42578125" style="39" bestFit="1" customWidth="1"/>
    <col min="6" max="6" width="73.140625" style="40" bestFit="1" customWidth="1"/>
    <col min="7" max="7" width="23.85546875" style="29" customWidth="1"/>
    <col min="8" max="8" width="30.85546875" style="29" bestFit="1" customWidth="1"/>
    <col min="9" max="9" width="11.140625" style="41" bestFit="1" customWidth="1"/>
    <col min="10" max="16384" width="11.42578125" style="29"/>
  </cols>
  <sheetData>
    <row r="1" spans="1:9" x14ac:dyDescent="0.25">
      <c r="A1" s="18" t="s">
        <v>7</v>
      </c>
      <c r="B1" s="18" t="s">
        <v>352</v>
      </c>
      <c r="C1" s="47" t="s">
        <v>353</v>
      </c>
      <c r="D1" s="18" t="s">
        <v>75</v>
      </c>
      <c r="E1" s="18" t="s">
        <v>16</v>
      </c>
      <c r="F1" s="18" t="s">
        <v>79</v>
      </c>
      <c r="G1" s="18" t="s">
        <v>324</v>
      </c>
      <c r="H1" s="18" t="s">
        <v>383</v>
      </c>
      <c r="I1" s="18" t="s">
        <v>384</v>
      </c>
    </row>
    <row r="2" spans="1:9" ht="36" x14ac:dyDescent="0.25">
      <c r="A2" s="37" t="s">
        <v>334</v>
      </c>
      <c r="B2" s="37" t="s">
        <v>334</v>
      </c>
      <c r="C2" s="46" t="s">
        <v>649</v>
      </c>
      <c r="D2" s="39" t="s">
        <v>650</v>
      </c>
      <c r="E2" s="39">
        <v>10410023</v>
      </c>
      <c r="F2" s="40" t="s">
        <v>303</v>
      </c>
      <c r="G2" s="37" t="s">
        <v>325</v>
      </c>
      <c r="H2" s="42" t="s">
        <v>385</v>
      </c>
      <c r="I2" s="43">
        <v>43502638</v>
      </c>
    </row>
    <row r="3" spans="1:9" ht="24" x14ac:dyDescent="0.25">
      <c r="A3" s="37" t="s">
        <v>359</v>
      </c>
      <c r="B3" s="37" t="s">
        <v>359</v>
      </c>
      <c r="C3" s="46" t="s">
        <v>778</v>
      </c>
      <c r="D3" s="39" t="s">
        <v>779</v>
      </c>
      <c r="E3" s="39">
        <v>20230009</v>
      </c>
      <c r="F3" s="40" t="s">
        <v>304</v>
      </c>
      <c r="G3" s="40" t="s">
        <v>327</v>
      </c>
      <c r="H3" s="42" t="s">
        <v>386</v>
      </c>
      <c r="I3" s="43">
        <v>43651295</v>
      </c>
    </row>
    <row r="4" spans="1:9" ht="24" x14ac:dyDescent="0.25">
      <c r="A4" s="37" t="s">
        <v>360</v>
      </c>
      <c r="B4" s="37" t="s">
        <v>359</v>
      </c>
      <c r="C4" s="46" t="s">
        <v>856</v>
      </c>
      <c r="D4" s="39" t="s">
        <v>857</v>
      </c>
      <c r="E4" s="39">
        <v>20230009</v>
      </c>
      <c r="F4" s="40" t="s">
        <v>863</v>
      </c>
      <c r="G4" s="40" t="s">
        <v>326</v>
      </c>
      <c r="H4" s="42" t="s">
        <v>387</v>
      </c>
      <c r="I4" s="43">
        <v>42897640</v>
      </c>
    </row>
    <row r="5" spans="1:9" x14ac:dyDescent="0.25">
      <c r="A5" s="37" t="s">
        <v>335</v>
      </c>
      <c r="B5" s="37" t="s">
        <v>359</v>
      </c>
      <c r="C5" s="40" t="s">
        <v>884</v>
      </c>
      <c r="D5" s="39" t="s">
        <v>885</v>
      </c>
      <c r="E5" s="39">
        <v>20230009</v>
      </c>
      <c r="F5" s="40" t="s">
        <v>85</v>
      </c>
      <c r="H5" s="42" t="s">
        <v>388</v>
      </c>
      <c r="I5" s="43">
        <v>70084346</v>
      </c>
    </row>
    <row r="6" spans="1:9" x14ac:dyDescent="0.25">
      <c r="A6" s="37" t="s">
        <v>336</v>
      </c>
      <c r="B6" s="37" t="s">
        <v>336</v>
      </c>
      <c r="C6" s="46" t="s">
        <v>204</v>
      </c>
      <c r="D6" s="39" t="s">
        <v>94</v>
      </c>
      <c r="E6" s="39">
        <v>20230009</v>
      </c>
      <c r="F6" s="40" t="s">
        <v>84</v>
      </c>
      <c r="H6" s="42" t="s">
        <v>389</v>
      </c>
      <c r="I6" s="45" t="s">
        <v>601</v>
      </c>
    </row>
    <row r="7" spans="1:9" ht="24" x14ac:dyDescent="0.25">
      <c r="A7" s="37" t="s">
        <v>337</v>
      </c>
      <c r="B7" s="37" t="s">
        <v>336</v>
      </c>
      <c r="C7" s="46" t="s">
        <v>205</v>
      </c>
      <c r="D7" s="38" t="s">
        <v>95</v>
      </c>
      <c r="E7" s="39">
        <v>20230009</v>
      </c>
      <c r="F7" s="40" t="s">
        <v>865</v>
      </c>
      <c r="H7" s="42" t="s">
        <v>390</v>
      </c>
      <c r="I7" s="43">
        <v>71612027</v>
      </c>
    </row>
    <row r="8" spans="1:9" x14ac:dyDescent="0.25">
      <c r="A8" s="37" t="s">
        <v>354</v>
      </c>
      <c r="B8" s="37" t="s">
        <v>336</v>
      </c>
      <c r="C8" s="46" t="s">
        <v>823</v>
      </c>
      <c r="D8" s="38" t="s">
        <v>651</v>
      </c>
      <c r="E8" s="39">
        <v>10410023</v>
      </c>
      <c r="F8" s="40" t="s">
        <v>308</v>
      </c>
      <c r="H8" s="42" t="s">
        <v>391</v>
      </c>
      <c r="I8" s="43">
        <v>3396537</v>
      </c>
    </row>
    <row r="9" spans="1:9" ht="24" x14ac:dyDescent="0.25">
      <c r="A9" s="37" t="s">
        <v>361</v>
      </c>
      <c r="B9" s="37" t="s">
        <v>336</v>
      </c>
      <c r="C9" s="46" t="s">
        <v>206</v>
      </c>
      <c r="D9" s="38" t="s">
        <v>96</v>
      </c>
      <c r="E9" s="39">
        <v>20230009</v>
      </c>
      <c r="F9" s="40" t="s">
        <v>305</v>
      </c>
      <c r="H9" s="42" t="s">
        <v>392</v>
      </c>
      <c r="I9" s="43">
        <v>71337736</v>
      </c>
    </row>
    <row r="10" spans="1:9" ht="24" x14ac:dyDescent="0.25">
      <c r="A10" s="37" t="s">
        <v>14</v>
      </c>
      <c r="B10" s="37" t="s">
        <v>336</v>
      </c>
      <c r="C10" s="46" t="s">
        <v>780</v>
      </c>
      <c r="D10" s="38" t="s">
        <v>781</v>
      </c>
      <c r="E10" s="39">
        <v>10410023</v>
      </c>
      <c r="F10" s="40" t="s">
        <v>306</v>
      </c>
      <c r="H10" s="42" t="s">
        <v>393</v>
      </c>
      <c r="I10" s="43">
        <v>71752561</v>
      </c>
    </row>
    <row r="11" spans="1:9" x14ac:dyDescent="0.25">
      <c r="A11" s="37" t="s">
        <v>338</v>
      </c>
      <c r="B11" s="37" t="s">
        <v>336</v>
      </c>
      <c r="C11" s="46" t="s">
        <v>824</v>
      </c>
      <c r="D11" s="38" t="s">
        <v>652</v>
      </c>
      <c r="E11" s="39">
        <v>10410023</v>
      </c>
      <c r="F11" s="40" t="s">
        <v>307</v>
      </c>
      <c r="H11" s="42" t="s">
        <v>394</v>
      </c>
      <c r="I11" s="43">
        <v>15349797</v>
      </c>
    </row>
    <row r="12" spans="1:9" ht="24" x14ac:dyDescent="0.25">
      <c r="A12" s="37" t="s">
        <v>339</v>
      </c>
      <c r="B12" s="37" t="s">
        <v>354</v>
      </c>
      <c r="C12" s="46" t="s">
        <v>207</v>
      </c>
      <c r="D12" s="38" t="s">
        <v>97</v>
      </c>
      <c r="E12" s="39">
        <v>20230009</v>
      </c>
      <c r="F12" s="40" t="s">
        <v>864</v>
      </c>
      <c r="H12" s="42" t="s">
        <v>395</v>
      </c>
      <c r="I12" s="43">
        <v>43522706</v>
      </c>
    </row>
    <row r="13" spans="1:9" x14ac:dyDescent="0.25">
      <c r="A13" s="37" t="s">
        <v>355</v>
      </c>
      <c r="B13" s="37" t="s">
        <v>354</v>
      </c>
      <c r="C13" s="46" t="s">
        <v>208</v>
      </c>
      <c r="D13" s="38" t="s">
        <v>98</v>
      </c>
      <c r="E13" s="39">
        <v>20230009</v>
      </c>
      <c r="F13" s="40" t="s">
        <v>862</v>
      </c>
      <c r="H13" s="42" t="s">
        <v>396</v>
      </c>
      <c r="I13" s="43">
        <v>8287418</v>
      </c>
    </row>
    <row r="14" spans="1:9" x14ac:dyDescent="0.25">
      <c r="A14" s="37" t="s">
        <v>340</v>
      </c>
      <c r="B14" s="37" t="s">
        <v>354</v>
      </c>
      <c r="C14" s="46" t="s">
        <v>825</v>
      </c>
      <c r="D14" s="38" t="s">
        <v>653</v>
      </c>
      <c r="E14" s="39">
        <v>10410023</v>
      </c>
      <c r="F14" s="40" t="s">
        <v>311</v>
      </c>
      <c r="H14" s="42" t="s">
        <v>397</v>
      </c>
      <c r="I14" s="43">
        <v>42887817</v>
      </c>
    </row>
    <row r="15" spans="1:9" x14ac:dyDescent="0.25">
      <c r="A15" s="37" t="s">
        <v>341</v>
      </c>
      <c r="B15" s="37" t="s">
        <v>354</v>
      </c>
      <c r="C15" s="46" t="s">
        <v>722</v>
      </c>
      <c r="D15" s="38" t="s">
        <v>99</v>
      </c>
      <c r="E15" s="39">
        <v>20230009</v>
      </c>
      <c r="F15" s="40" t="s">
        <v>310</v>
      </c>
      <c r="H15" s="42" t="s">
        <v>398</v>
      </c>
      <c r="I15" s="43">
        <v>42883734</v>
      </c>
    </row>
    <row r="16" spans="1:9" ht="24" x14ac:dyDescent="0.25">
      <c r="A16" s="37" t="s">
        <v>356</v>
      </c>
      <c r="B16" s="37" t="s">
        <v>354</v>
      </c>
      <c r="C16" s="46" t="s">
        <v>209</v>
      </c>
      <c r="D16" s="38" t="s">
        <v>100</v>
      </c>
      <c r="E16" s="39">
        <v>20230009</v>
      </c>
      <c r="F16" s="40" t="s">
        <v>312</v>
      </c>
      <c r="H16" s="42" t="s">
        <v>399</v>
      </c>
      <c r="I16" s="43">
        <v>43621952</v>
      </c>
    </row>
    <row r="17" spans="1:9" ht="24" x14ac:dyDescent="0.25">
      <c r="A17" s="37" t="s">
        <v>357</v>
      </c>
      <c r="B17" s="37" t="s">
        <v>354</v>
      </c>
      <c r="C17" s="46" t="s">
        <v>826</v>
      </c>
      <c r="D17" s="38" t="s">
        <v>654</v>
      </c>
      <c r="E17" s="39">
        <v>10410023</v>
      </c>
      <c r="F17" s="40" t="s">
        <v>313</v>
      </c>
      <c r="H17" s="42" t="s">
        <v>400</v>
      </c>
      <c r="I17" s="43">
        <v>43025797</v>
      </c>
    </row>
    <row r="18" spans="1:9" ht="24" x14ac:dyDescent="0.25">
      <c r="A18" s="37" t="s">
        <v>358</v>
      </c>
      <c r="B18" s="37" t="s">
        <v>354</v>
      </c>
      <c r="C18" s="46" t="s">
        <v>655</v>
      </c>
      <c r="D18" s="38" t="s">
        <v>656</v>
      </c>
      <c r="E18" s="39">
        <v>10410023</v>
      </c>
      <c r="F18" s="40" t="s">
        <v>314</v>
      </c>
      <c r="H18" s="42" t="s">
        <v>401</v>
      </c>
      <c r="I18" s="43">
        <v>43189871</v>
      </c>
    </row>
    <row r="19" spans="1:9" ht="24" x14ac:dyDescent="0.25">
      <c r="A19" s="37" t="s">
        <v>8</v>
      </c>
      <c r="B19" s="37" t="s">
        <v>361</v>
      </c>
      <c r="C19" s="46" t="s">
        <v>782</v>
      </c>
      <c r="D19" s="38" t="s">
        <v>783</v>
      </c>
      <c r="E19" s="39">
        <v>20230009</v>
      </c>
      <c r="F19" s="40" t="s">
        <v>309</v>
      </c>
      <c r="H19" s="42" t="s">
        <v>402</v>
      </c>
      <c r="I19" s="43">
        <v>71603452</v>
      </c>
    </row>
    <row r="20" spans="1:9" x14ac:dyDescent="0.25">
      <c r="A20" s="37" t="s">
        <v>362</v>
      </c>
      <c r="B20" s="37" t="s">
        <v>361</v>
      </c>
      <c r="C20" s="46" t="s">
        <v>701</v>
      </c>
      <c r="D20" s="38" t="s">
        <v>702</v>
      </c>
      <c r="E20" s="39">
        <v>20230021</v>
      </c>
      <c r="F20" s="40" t="s">
        <v>866</v>
      </c>
      <c r="H20" s="42" t="s">
        <v>403</v>
      </c>
      <c r="I20" s="43">
        <v>71739737</v>
      </c>
    </row>
    <row r="21" spans="1:9" ht="24" x14ac:dyDescent="0.25">
      <c r="A21" s="37" t="s">
        <v>363</v>
      </c>
      <c r="B21" s="37" t="s">
        <v>14</v>
      </c>
      <c r="C21" s="46" t="s">
        <v>723</v>
      </c>
      <c r="D21" s="38" t="s">
        <v>724</v>
      </c>
      <c r="E21" s="39">
        <v>20230009</v>
      </c>
      <c r="F21" s="40" t="s">
        <v>82</v>
      </c>
      <c r="H21" s="42" t="s">
        <v>404</v>
      </c>
      <c r="I21" s="43">
        <v>98671608</v>
      </c>
    </row>
    <row r="22" spans="1:9" ht="24" x14ac:dyDescent="0.25">
      <c r="A22" s="37" t="s">
        <v>364</v>
      </c>
      <c r="B22" s="37" t="s">
        <v>14</v>
      </c>
      <c r="C22" s="46" t="s">
        <v>725</v>
      </c>
      <c r="D22" s="38" t="s">
        <v>726</v>
      </c>
      <c r="E22" s="39">
        <v>20230009</v>
      </c>
      <c r="F22" s="40" t="s">
        <v>80</v>
      </c>
      <c r="H22" s="42" t="s">
        <v>405</v>
      </c>
      <c r="I22" s="43">
        <v>42871672</v>
      </c>
    </row>
    <row r="23" spans="1:9" x14ac:dyDescent="0.25">
      <c r="A23" s="37" t="s">
        <v>365</v>
      </c>
      <c r="B23" s="37" t="s">
        <v>14</v>
      </c>
      <c r="C23" s="46" t="s">
        <v>727</v>
      </c>
      <c r="D23" s="38" t="s">
        <v>728</v>
      </c>
      <c r="E23" s="39">
        <v>20230009</v>
      </c>
      <c r="F23" s="40" t="s">
        <v>81</v>
      </c>
      <c r="H23" s="42" t="s">
        <v>406</v>
      </c>
      <c r="I23" s="43">
        <v>71991542</v>
      </c>
    </row>
    <row r="24" spans="1:9" ht="24" x14ac:dyDescent="0.25">
      <c r="A24" s="37" t="s">
        <v>342</v>
      </c>
      <c r="B24" s="37" t="s">
        <v>14</v>
      </c>
      <c r="C24" s="46" t="s">
        <v>729</v>
      </c>
      <c r="D24" s="38" t="s">
        <v>730</v>
      </c>
      <c r="E24" s="39">
        <v>20230009</v>
      </c>
      <c r="F24" s="40" t="s">
        <v>83</v>
      </c>
      <c r="H24" s="42" t="s">
        <v>407</v>
      </c>
      <c r="I24" s="43">
        <v>43062616</v>
      </c>
    </row>
    <row r="25" spans="1:9" x14ac:dyDescent="0.25">
      <c r="A25" s="37" t="s">
        <v>9</v>
      </c>
      <c r="B25" s="37" t="s">
        <v>14</v>
      </c>
      <c r="C25" s="46" t="s">
        <v>731</v>
      </c>
      <c r="D25" s="38" t="s">
        <v>732</v>
      </c>
      <c r="E25" s="39">
        <v>20230009</v>
      </c>
      <c r="F25" s="40" t="s">
        <v>861</v>
      </c>
      <c r="H25" s="42" t="s">
        <v>408</v>
      </c>
      <c r="I25" s="43">
        <v>34529960</v>
      </c>
    </row>
    <row r="26" spans="1:9" x14ac:dyDescent="0.25">
      <c r="A26" s="37" t="s">
        <v>343</v>
      </c>
      <c r="B26" s="37" t="s">
        <v>14</v>
      </c>
      <c r="C26" s="46" t="s">
        <v>733</v>
      </c>
      <c r="D26" s="38" t="s">
        <v>734</v>
      </c>
      <c r="E26" s="39">
        <v>20230015</v>
      </c>
      <c r="F26" s="40" t="s">
        <v>302</v>
      </c>
      <c r="H26" s="42" t="s">
        <v>409</v>
      </c>
      <c r="I26" s="43">
        <v>42999723</v>
      </c>
    </row>
    <row r="27" spans="1:9" ht="24" x14ac:dyDescent="0.25">
      <c r="A27" s="37" t="s">
        <v>366</v>
      </c>
      <c r="B27" s="37" t="s">
        <v>14</v>
      </c>
      <c r="C27" s="46" t="s">
        <v>735</v>
      </c>
      <c r="D27" s="38" t="s">
        <v>736</v>
      </c>
      <c r="E27" s="39">
        <v>20230015</v>
      </c>
      <c r="F27" s="40" t="s">
        <v>301</v>
      </c>
      <c r="H27" s="42" t="s">
        <v>410</v>
      </c>
      <c r="I27" s="43">
        <v>32429021</v>
      </c>
    </row>
    <row r="28" spans="1:9" ht="24" x14ac:dyDescent="0.25">
      <c r="A28" s="37" t="s">
        <v>367</v>
      </c>
      <c r="B28" s="37" t="s">
        <v>14</v>
      </c>
      <c r="C28" s="46" t="s">
        <v>737</v>
      </c>
      <c r="D28" s="38" t="s">
        <v>738</v>
      </c>
      <c r="E28" s="39">
        <v>20230015</v>
      </c>
      <c r="F28" s="40" t="s">
        <v>321</v>
      </c>
      <c r="H28" s="42" t="s">
        <v>411</v>
      </c>
      <c r="I28" s="43" t="s">
        <v>412</v>
      </c>
    </row>
    <row r="29" spans="1:9" ht="24" x14ac:dyDescent="0.25">
      <c r="A29" s="37" t="s">
        <v>382</v>
      </c>
      <c r="B29" s="37" t="s">
        <v>14</v>
      </c>
      <c r="C29" s="46" t="s">
        <v>739</v>
      </c>
      <c r="D29" s="38" t="s">
        <v>740</v>
      </c>
      <c r="E29" s="39">
        <v>20230015</v>
      </c>
      <c r="F29" s="40" t="s">
        <v>315</v>
      </c>
      <c r="H29" s="42" t="s">
        <v>413</v>
      </c>
      <c r="I29" s="43">
        <v>79262441</v>
      </c>
    </row>
    <row r="30" spans="1:9" x14ac:dyDescent="0.25">
      <c r="A30" s="37" t="s">
        <v>10</v>
      </c>
      <c r="B30" s="37" t="s">
        <v>339</v>
      </c>
      <c r="C30" s="46" t="s">
        <v>827</v>
      </c>
      <c r="D30" s="38" t="s">
        <v>657</v>
      </c>
      <c r="E30" s="39">
        <v>10410023</v>
      </c>
      <c r="F30" s="40" t="s">
        <v>317</v>
      </c>
      <c r="H30" s="42" t="s">
        <v>414</v>
      </c>
      <c r="I30" s="43">
        <v>70565696</v>
      </c>
    </row>
    <row r="31" spans="1:9" ht="24" x14ac:dyDescent="0.25">
      <c r="A31" s="37" t="s">
        <v>344</v>
      </c>
      <c r="B31" s="37" t="s">
        <v>339</v>
      </c>
      <c r="C31" s="46" t="s">
        <v>210</v>
      </c>
      <c r="D31" s="38" t="s">
        <v>101</v>
      </c>
      <c r="E31" s="39">
        <v>20230009</v>
      </c>
      <c r="F31" s="40" t="s">
        <v>322</v>
      </c>
      <c r="H31" s="42" t="s">
        <v>415</v>
      </c>
      <c r="I31" s="43">
        <v>71955597</v>
      </c>
    </row>
    <row r="32" spans="1:9" ht="24" x14ac:dyDescent="0.25">
      <c r="A32" s="37" t="s">
        <v>345</v>
      </c>
      <c r="B32" s="37" t="s">
        <v>339</v>
      </c>
      <c r="C32" s="46" t="s">
        <v>211</v>
      </c>
      <c r="D32" s="38" t="s">
        <v>102</v>
      </c>
      <c r="E32" s="39">
        <v>20230009</v>
      </c>
      <c r="F32" s="40" t="s">
        <v>316</v>
      </c>
      <c r="H32" s="42" t="s">
        <v>416</v>
      </c>
      <c r="I32" s="43">
        <v>73099259</v>
      </c>
    </row>
    <row r="33" spans="1:9" x14ac:dyDescent="0.25">
      <c r="A33" s="37" t="s">
        <v>620</v>
      </c>
      <c r="B33" s="37" t="s">
        <v>339</v>
      </c>
      <c r="C33" s="46" t="s">
        <v>212</v>
      </c>
      <c r="D33" s="38" t="s">
        <v>103</v>
      </c>
      <c r="E33" s="39">
        <v>20230009</v>
      </c>
      <c r="F33" s="40" t="s">
        <v>318</v>
      </c>
      <c r="H33" s="42" t="s">
        <v>417</v>
      </c>
      <c r="I33" s="43">
        <v>71596451</v>
      </c>
    </row>
    <row r="34" spans="1:9" ht="24" x14ac:dyDescent="0.25">
      <c r="A34" s="37" t="s">
        <v>346</v>
      </c>
      <c r="B34" s="37" t="s">
        <v>339</v>
      </c>
      <c r="C34" s="46" t="s">
        <v>213</v>
      </c>
      <c r="D34" s="38" t="s">
        <v>104</v>
      </c>
      <c r="E34" s="39">
        <v>20230009</v>
      </c>
      <c r="F34" s="40" t="s">
        <v>320</v>
      </c>
      <c r="H34" s="42" t="s">
        <v>418</v>
      </c>
      <c r="I34" s="43">
        <v>51802180</v>
      </c>
    </row>
    <row r="35" spans="1:9" ht="24" x14ac:dyDescent="0.25">
      <c r="A35" s="37" t="s">
        <v>368</v>
      </c>
      <c r="B35" s="37" t="s">
        <v>339</v>
      </c>
      <c r="C35" s="46" t="s">
        <v>214</v>
      </c>
      <c r="D35" s="38" t="s">
        <v>105</v>
      </c>
      <c r="E35" s="39">
        <v>20230009</v>
      </c>
      <c r="F35" s="40" t="s">
        <v>319</v>
      </c>
      <c r="H35" s="42" t="s">
        <v>419</v>
      </c>
      <c r="I35" s="43">
        <v>42072392</v>
      </c>
    </row>
    <row r="36" spans="1:9" ht="24" x14ac:dyDescent="0.25">
      <c r="A36" s="37" t="s">
        <v>369</v>
      </c>
      <c r="B36" s="37" t="s">
        <v>339</v>
      </c>
      <c r="C36" s="46" t="s">
        <v>721</v>
      </c>
      <c r="D36" s="38" t="s">
        <v>106</v>
      </c>
      <c r="E36" s="39">
        <v>20230009</v>
      </c>
      <c r="H36" s="42" t="s">
        <v>420</v>
      </c>
      <c r="I36" s="43">
        <v>52988305</v>
      </c>
    </row>
    <row r="37" spans="1:9" x14ac:dyDescent="0.25">
      <c r="A37" s="37" t="s">
        <v>370</v>
      </c>
      <c r="B37" s="37" t="s">
        <v>339</v>
      </c>
      <c r="C37" s="46" t="s">
        <v>720</v>
      </c>
      <c r="D37" s="38" t="s">
        <v>107</v>
      </c>
      <c r="E37" s="39">
        <v>20230009</v>
      </c>
      <c r="H37" s="42" t="s">
        <v>421</v>
      </c>
      <c r="I37" s="43">
        <v>43974625</v>
      </c>
    </row>
    <row r="38" spans="1:9" ht="24" x14ac:dyDescent="0.25">
      <c r="A38" s="37" t="s">
        <v>11</v>
      </c>
      <c r="B38" s="37" t="s">
        <v>339</v>
      </c>
      <c r="C38" s="46" t="s">
        <v>741</v>
      </c>
      <c r="D38" s="38" t="s">
        <v>742</v>
      </c>
      <c r="E38" s="39">
        <v>20230009</v>
      </c>
      <c r="H38" s="42" t="s">
        <v>422</v>
      </c>
      <c r="I38" s="43">
        <v>65765794</v>
      </c>
    </row>
    <row r="39" spans="1:9" ht="24" x14ac:dyDescent="0.25">
      <c r="A39" s="37" t="s">
        <v>371</v>
      </c>
      <c r="B39" s="37" t="s">
        <v>339</v>
      </c>
      <c r="C39" s="46" t="s">
        <v>658</v>
      </c>
      <c r="D39" s="38" t="s">
        <v>659</v>
      </c>
      <c r="E39" s="39">
        <v>10410023</v>
      </c>
      <c r="H39" s="42" t="s">
        <v>423</v>
      </c>
      <c r="I39" s="43">
        <v>93369720</v>
      </c>
    </row>
    <row r="40" spans="1:9" ht="24" x14ac:dyDescent="0.25">
      <c r="A40" s="37" t="s">
        <v>372</v>
      </c>
      <c r="B40" s="37" t="s">
        <v>339</v>
      </c>
      <c r="C40" s="46" t="s">
        <v>719</v>
      </c>
      <c r="D40" s="38" t="s">
        <v>621</v>
      </c>
      <c r="E40" s="39">
        <v>20230009</v>
      </c>
      <c r="H40" s="42" t="s">
        <v>424</v>
      </c>
      <c r="I40" s="43">
        <v>79236164</v>
      </c>
    </row>
    <row r="41" spans="1:9" x14ac:dyDescent="0.25">
      <c r="A41" s="37" t="s">
        <v>12</v>
      </c>
      <c r="B41" s="37" t="s">
        <v>339</v>
      </c>
      <c r="C41" s="46" t="s">
        <v>622</v>
      </c>
      <c r="D41" s="38" t="s">
        <v>623</v>
      </c>
      <c r="E41" s="39">
        <v>20230019</v>
      </c>
      <c r="H41" s="42" t="s">
        <v>425</v>
      </c>
      <c r="I41" s="43">
        <v>42875774</v>
      </c>
    </row>
    <row r="42" spans="1:9" ht="24" x14ac:dyDescent="0.25">
      <c r="A42" s="37" t="s">
        <v>373</v>
      </c>
      <c r="B42" s="37" t="s">
        <v>339</v>
      </c>
      <c r="C42" s="46" t="s">
        <v>624</v>
      </c>
      <c r="D42" s="38" t="s">
        <v>625</v>
      </c>
      <c r="E42" s="39">
        <v>20230009</v>
      </c>
      <c r="H42" s="42" t="s">
        <v>426</v>
      </c>
      <c r="I42" s="43">
        <v>60358066</v>
      </c>
    </row>
    <row r="43" spans="1:9" ht="24" x14ac:dyDescent="0.25">
      <c r="A43" s="37" t="s">
        <v>374</v>
      </c>
      <c r="B43" s="37" t="s">
        <v>339</v>
      </c>
      <c r="C43" s="46" t="s">
        <v>743</v>
      </c>
      <c r="D43" s="38" t="s">
        <v>744</v>
      </c>
      <c r="E43" s="39">
        <v>20230009</v>
      </c>
      <c r="H43" s="42" t="s">
        <v>427</v>
      </c>
      <c r="I43" s="43">
        <v>43577512</v>
      </c>
    </row>
    <row r="44" spans="1:9" ht="24" x14ac:dyDescent="0.25">
      <c r="A44" s="37" t="s">
        <v>375</v>
      </c>
      <c r="B44" s="37" t="s">
        <v>339</v>
      </c>
      <c r="C44" s="46" t="s">
        <v>784</v>
      </c>
      <c r="D44" s="38" t="s">
        <v>785</v>
      </c>
      <c r="E44" s="39">
        <v>20230019</v>
      </c>
      <c r="H44" s="42" t="s">
        <v>428</v>
      </c>
      <c r="I44" s="43">
        <v>1214717481</v>
      </c>
    </row>
    <row r="45" spans="1:9" ht="24" x14ac:dyDescent="0.25">
      <c r="A45" s="37" t="s">
        <v>13</v>
      </c>
      <c r="B45" s="37" t="s">
        <v>339</v>
      </c>
      <c r="C45" s="46" t="s">
        <v>786</v>
      </c>
      <c r="D45" s="38" t="s">
        <v>787</v>
      </c>
      <c r="E45" s="39">
        <v>20230019</v>
      </c>
      <c r="H45" s="42" t="s">
        <v>429</v>
      </c>
      <c r="I45" s="43" t="s">
        <v>430</v>
      </c>
    </row>
    <row r="46" spans="1:9" ht="24" x14ac:dyDescent="0.25">
      <c r="A46" s="37" t="s">
        <v>347</v>
      </c>
      <c r="B46" s="37" t="s">
        <v>339</v>
      </c>
      <c r="C46" s="46" t="s">
        <v>788</v>
      </c>
      <c r="D46" s="38" t="s">
        <v>789</v>
      </c>
      <c r="E46" s="39">
        <v>20230019</v>
      </c>
      <c r="H46" s="42" t="s">
        <v>431</v>
      </c>
      <c r="I46" s="43">
        <v>98704548</v>
      </c>
    </row>
    <row r="47" spans="1:9" x14ac:dyDescent="0.25">
      <c r="A47" s="37" t="s">
        <v>348</v>
      </c>
      <c r="B47" s="37" t="s">
        <v>339</v>
      </c>
      <c r="C47" s="46" t="s">
        <v>828</v>
      </c>
      <c r="D47" s="38" t="s">
        <v>745</v>
      </c>
      <c r="E47" s="39">
        <v>10410023</v>
      </c>
      <c r="H47" s="42" t="s">
        <v>432</v>
      </c>
      <c r="I47" s="43">
        <v>7463551</v>
      </c>
    </row>
    <row r="48" spans="1:9" ht="24" x14ac:dyDescent="0.25">
      <c r="A48" s="37" t="s">
        <v>349</v>
      </c>
      <c r="B48" s="37" t="s">
        <v>355</v>
      </c>
      <c r="C48" s="46" t="s">
        <v>215</v>
      </c>
      <c r="D48" s="38" t="s">
        <v>108</v>
      </c>
      <c r="E48" s="39">
        <v>20230009</v>
      </c>
      <c r="H48" s="42" t="s">
        <v>433</v>
      </c>
      <c r="I48" s="43">
        <v>32295438</v>
      </c>
    </row>
    <row r="49" spans="1:9" ht="24" x14ac:dyDescent="0.25">
      <c r="A49" s="37" t="s">
        <v>376</v>
      </c>
      <c r="B49" s="37" t="s">
        <v>355</v>
      </c>
      <c r="C49" s="46" t="s">
        <v>217</v>
      </c>
      <c r="D49" s="38" t="s">
        <v>109</v>
      </c>
      <c r="E49" s="39">
        <v>20230009</v>
      </c>
      <c r="H49" s="42" t="s">
        <v>434</v>
      </c>
      <c r="I49" s="43">
        <v>43876824</v>
      </c>
    </row>
    <row r="50" spans="1:9" ht="24" x14ac:dyDescent="0.25">
      <c r="A50" s="37" t="s">
        <v>377</v>
      </c>
      <c r="B50" s="37" t="s">
        <v>355</v>
      </c>
      <c r="C50" s="46" t="s">
        <v>718</v>
      </c>
      <c r="D50" s="38" t="s">
        <v>110</v>
      </c>
      <c r="E50" s="39">
        <v>20230009</v>
      </c>
      <c r="H50" s="42" t="s">
        <v>435</v>
      </c>
      <c r="I50" s="43">
        <v>42690330</v>
      </c>
    </row>
    <row r="51" spans="1:9" ht="24" x14ac:dyDescent="0.25">
      <c r="A51" s="37" t="s">
        <v>378</v>
      </c>
      <c r="B51" s="37" t="s">
        <v>355</v>
      </c>
      <c r="C51" s="46" t="s">
        <v>829</v>
      </c>
      <c r="D51" s="38" t="s">
        <v>660</v>
      </c>
      <c r="E51" s="39">
        <v>10410023</v>
      </c>
      <c r="H51" s="42" t="s">
        <v>436</v>
      </c>
      <c r="I51" s="43">
        <v>39354942</v>
      </c>
    </row>
    <row r="52" spans="1:9" ht="24" x14ac:dyDescent="0.25">
      <c r="A52" s="37" t="s">
        <v>379</v>
      </c>
      <c r="B52" s="37" t="s">
        <v>355</v>
      </c>
      <c r="C52" s="46" t="s">
        <v>218</v>
      </c>
      <c r="D52" s="38" t="s">
        <v>111</v>
      </c>
      <c r="E52" s="39">
        <v>10410023</v>
      </c>
      <c r="H52" s="42" t="s">
        <v>437</v>
      </c>
      <c r="I52" s="43">
        <v>79653661</v>
      </c>
    </row>
    <row r="53" spans="1:9" ht="24" x14ac:dyDescent="0.25">
      <c r="A53" s="37" t="s">
        <v>380</v>
      </c>
      <c r="B53" s="37" t="s">
        <v>355</v>
      </c>
      <c r="C53" s="46" t="s">
        <v>216</v>
      </c>
      <c r="D53" s="38" t="s">
        <v>112</v>
      </c>
      <c r="E53" s="39">
        <v>10410023</v>
      </c>
      <c r="H53" s="42" t="s">
        <v>438</v>
      </c>
      <c r="I53" s="43">
        <v>98554575</v>
      </c>
    </row>
    <row r="54" spans="1:9" ht="24" x14ac:dyDescent="0.25">
      <c r="A54" s="37" t="s">
        <v>822</v>
      </c>
      <c r="B54" s="37" t="s">
        <v>355</v>
      </c>
      <c r="C54" s="46" t="s">
        <v>830</v>
      </c>
      <c r="D54" s="38" t="s">
        <v>627</v>
      </c>
      <c r="E54" s="39">
        <v>10410023</v>
      </c>
      <c r="H54" s="42" t="s">
        <v>439</v>
      </c>
      <c r="I54" s="43">
        <v>15385665</v>
      </c>
    </row>
    <row r="55" spans="1:9" ht="24" x14ac:dyDescent="0.25">
      <c r="A55" s="37" t="s">
        <v>350</v>
      </c>
      <c r="B55" s="37" t="s">
        <v>355</v>
      </c>
      <c r="C55" s="46" t="s">
        <v>626</v>
      </c>
      <c r="D55" s="38" t="s">
        <v>661</v>
      </c>
      <c r="E55" s="39">
        <v>10410023</v>
      </c>
      <c r="H55" s="42" t="s">
        <v>440</v>
      </c>
      <c r="I55" s="43">
        <v>43623353</v>
      </c>
    </row>
    <row r="56" spans="1:9" x14ac:dyDescent="0.25">
      <c r="A56" s="37" t="s">
        <v>351</v>
      </c>
      <c r="B56" s="37" t="s">
        <v>855</v>
      </c>
      <c r="C56" s="46" t="s">
        <v>858</v>
      </c>
      <c r="D56" s="38" t="s">
        <v>859</v>
      </c>
      <c r="E56" s="39">
        <v>10410023</v>
      </c>
      <c r="H56" s="42" t="s">
        <v>877</v>
      </c>
      <c r="I56" s="43">
        <v>42898342</v>
      </c>
    </row>
    <row r="57" spans="1:9" x14ac:dyDescent="0.25">
      <c r="A57" s="40" t="s">
        <v>381</v>
      </c>
      <c r="B57" s="37" t="s">
        <v>340</v>
      </c>
      <c r="C57" s="46" t="s">
        <v>628</v>
      </c>
      <c r="D57" s="38" t="s">
        <v>629</v>
      </c>
      <c r="E57" s="39">
        <v>20240001</v>
      </c>
      <c r="H57" s="42" t="s">
        <v>441</v>
      </c>
      <c r="I57" s="43">
        <v>43507828</v>
      </c>
    </row>
    <row r="58" spans="1:9" ht="24" x14ac:dyDescent="0.25">
      <c r="A58" s="37" t="s">
        <v>874</v>
      </c>
      <c r="B58" s="37" t="s">
        <v>356</v>
      </c>
      <c r="C58" s="46" t="s">
        <v>717</v>
      </c>
      <c r="D58" s="38" t="s">
        <v>662</v>
      </c>
      <c r="E58" s="39">
        <v>20230009</v>
      </c>
      <c r="H58" s="42" t="s">
        <v>442</v>
      </c>
      <c r="I58" s="43">
        <v>31261894</v>
      </c>
    </row>
    <row r="59" spans="1:9" x14ac:dyDescent="0.25">
      <c r="A59" s="29"/>
      <c r="B59" s="37" t="s">
        <v>356</v>
      </c>
      <c r="C59" s="46" t="s">
        <v>831</v>
      </c>
      <c r="D59" s="38" t="s">
        <v>663</v>
      </c>
      <c r="E59" s="39">
        <v>10410023</v>
      </c>
      <c r="H59" s="42" t="s">
        <v>443</v>
      </c>
      <c r="I59" s="43">
        <v>15515584</v>
      </c>
    </row>
    <row r="60" spans="1:9" ht="24" x14ac:dyDescent="0.25">
      <c r="A60" s="29"/>
      <c r="B60" s="37" t="s">
        <v>356</v>
      </c>
      <c r="C60" s="46" t="s">
        <v>219</v>
      </c>
      <c r="D60" s="38" t="s">
        <v>113</v>
      </c>
      <c r="E60" s="39">
        <v>20230009</v>
      </c>
      <c r="H60" s="42" t="s">
        <v>444</v>
      </c>
      <c r="I60" s="43">
        <v>98664727</v>
      </c>
    </row>
    <row r="61" spans="1:9" ht="24" x14ac:dyDescent="0.25">
      <c r="A61" s="29"/>
      <c r="B61" s="37" t="s">
        <v>356</v>
      </c>
      <c r="C61" s="46" t="s">
        <v>220</v>
      </c>
      <c r="D61" s="38" t="s">
        <v>114</v>
      </c>
      <c r="E61" s="39">
        <v>10410023</v>
      </c>
      <c r="H61" s="42" t="s">
        <v>445</v>
      </c>
      <c r="I61" s="43">
        <v>71757640</v>
      </c>
    </row>
    <row r="62" spans="1:9" ht="24" x14ac:dyDescent="0.25">
      <c r="A62" s="29"/>
      <c r="B62" s="37" t="s">
        <v>356</v>
      </c>
      <c r="C62" s="46" t="s">
        <v>221</v>
      </c>
      <c r="D62" s="38" t="s">
        <v>115</v>
      </c>
      <c r="E62" s="39">
        <v>20230009</v>
      </c>
      <c r="H62" s="42" t="s">
        <v>446</v>
      </c>
      <c r="I62" s="43">
        <v>12971061</v>
      </c>
    </row>
    <row r="63" spans="1:9" x14ac:dyDescent="0.25">
      <c r="A63" s="29"/>
      <c r="B63" s="37" t="s">
        <v>356</v>
      </c>
      <c r="C63" s="46" t="s">
        <v>222</v>
      </c>
      <c r="D63" s="38" t="s">
        <v>116</v>
      </c>
      <c r="E63" s="39">
        <v>20230009</v>
      </c>
      <c r="H63" s="42" t="s">
        <v>447</v>
      </c>
      <c r="I63" s="43">
        <v>76781560</v>
      </c>
    </row>
    <row r="64" spans="1:9" ht="24" x14ac:dyDescent="0.25">
      <c r="B64" s="40" t="s">
        <v>356</v>
      </c>
      <c r="C64" s="46" t="s">
        <v>630</v>
      </c>
      <c r="D64" s="38" t="s">
        <v>609</v>
      </c>
      <c r="E64" s="39">
        <v>20230009</v>
      </c>
      <c r="H64" s="42" t="s">
        <v>448</v>
      </c>
      <c r="I64" s="43">
        <v>43279195</v>
      </c>
    </row>
    <row r="65" spans="2:9" x14ac:dyDescent="0.25">
      <c r="B65" s="40" t="s">
        <v>356</v>
      </c>
      <c r="C65" s="46" t="s">
        <v>605</v>
      </c>
      <c r="D65" s="38" t="s">
        <v>610</v>
      </c>
      <c r="E65" s="39">
        <v>20230009</v>
      </c>
      <c r="H65" s="42" t="s">
        <v>449</v>
      </c>
      <c r="I65" s="43">
        <v>98663399</v>
      </c>
    </row>
    <row r="66" spans="2:9" ht="24" x14ac:dyDescent="0.25">
      <c r="B66" s="40" t="s">
        <v>356</v>
      </c>
      <c r="C66" s="46" t="s">
        <v>716</v>
      </c>
      <c r="D66" s="38" t="s">
        <v>631</v>
      </c>
      <c r="E66" s="39">
        <v>20230009</v>
      </c>
      <c r="H66" s="42" t="s">
        <v>450</v>
      </c>
      <c r="I66" s="43">
        <v>88213282</v>
      </c>
    </row>
    <row r="67" spans="2:9" x14ac:dyDescent="0.25">
      <c r="B67" s="37" t="s">
        <v>356</v>
      </c>
      <c r="C67" s="46" t="s">
        <v>715</v>
      </c>
      <c r="D67" s="38" t="s">
        <v>632</v>
      </c>
      <c r="E67" s="39">
        <v>20230009</v>
      </c>
      <c r="H67" s="42" t="s">
        <v>451</v>
      </c>
      <c r="I67" s="43">
        <v>43588021</v>
      </c>
    </row>
    <row r="68" spans="2:9" x14ac:dyDescent="0.25">
      <c r="B68" s="40" t="s">
        <v>356</v>
      </c>
      <c r="C68" s="46" t="s">
        <v>832</v>
      </c>
      <c r="D68" s="38" t="s">
        <v>664</v>
      </c>
      <c r="E68" s="39">
        <v>10410023</v>
      </c>
      <c r="H68" s="42" t="s">
        <v>452</v>
      </c>
      <c r="I68" s="43">
        <v>91247994</v>
      </c>
    </row>
    <row r="69" spans="2:9" ht="24" x14ac:dyDescent="0.25">
      <c r="B69" s="40" t="s">
        <v>746</v>
      </c>
      <c r="C69" s="46" t="s">
        <v>223</v>
      </c>
      <c r="D69" s="38" t="s">
        <v>117</v>
      </c>
      <c r="E69" s="39">
        <v>20230009</v>
      </c>
      <c r="H69" s="42" t="s">
        <v>453</v>
      </c>
      <c r="I69" s="43" t="s">
        <v>454</v>
      </c>
    </row>
    <row r="70" spans="2:9" x14ac:dyDescent="0.25">
      <c r="B70" s="40" t="s">
        <v>746</v>
      </c>
      <c r="C70" s="46" t="s">
        <v>833</v>
      </c>
      <c r="D70" s="38" t="s">
        <v>665</v>
      </c>
      <c r="E70" s="39">
        <v>10410023</v>
      </c>
      <c r="H70" s="42" t="s">
        <v>455</v>
      </c>
      <c r="I70" s="43">
        <v>98546513</v>
      </c>
    </row>
    <row r="71" spans="2:9" x14ac:dyDescent="0.25">
      <c r="B71" s="40" t="s">
        <v>358</v>
      </c>
      <c r="C71" s="46" t="s">
        <v>294</v>
      </c>
      <c r="D71" s="38" t="s">
        <v>203</v>
      </c>
      <c r="E71" s="39">
        <v>20230017</v>
      </c>
      <c r="H71" s="42" t="s">
        <v>456</v>
      </c>
      <c r="I71" s="43">
        <v>74322987</v>
      </c>
    </row>
    <row r="72" spans="2:9" ht="24" x14ac:dyDescent="0.25">
      <c r="B72" s="40" t="s">
        <v>8</v>
      </c>
      <c r="C72" s="46" t="s">
        <v>790</v>
      </c>
      <c r="D72" s="38" t="s">
        <v>791</v>
      </c>
      <c r="E72" s="39">
        <v>20230009</v>
      </c>
      <c r="H72" s="42" t="s">
        <v>457</v>
      </c>
      <c r="I72" s="43">
        <v>71706554</v>
      </c>
    </row>
    <row r="73" spans="2:9" x14ac:dyDescent="0.25">
      <c r="B73" s="40" t="s">
        <v>362</v>
      </c>
      <c r="C73" s="46" t="s">
        <v>224</v>
      </c>
      <c r="D73" s="38" t="s">
        <v>118</v>
      </c>
      <c r="E73" s="39">
        <v>20230009</v>
      </c>
      <c r="H73" s="42" t="s">
        <v>458</v>
      </c>
      <c r="I73" s="43">
        <v>70088083</v>
      </c>
    </row>
    <row r="74" spans="2:9" ht="24" x14ac:dyDescent="0.25">
      <c r="B74" s="40" t="s">
        <v>362</v>
      </c>
      <c r="C74" s="46" t="s">
        <v>714</v>
      </c>
      <c r="D74" s="38" t="s">
        <v>119</v>
      </c>
      <c r="E74" s="39">
        <v>20230009</v>
      </c>
      <c r="H74" s="42" t="s">
        <v>459</v>
      </c>
      <c r="I74" s="43">
        <v>3352862</v>
      </c>
    </row>
    <row r="75" spans="2:9" x14ac:dyDescent="0.25">
      <c r="B75" s="40" t="s">
        <v>362</v>
      </c>
      <c r="C75" s="46" t="s">
        <v>834</v>
      </c>
      <c r="D75" s="38" t="s">
        <v>666</v>
      </c>
      <c r="E75" s="39">
        <v>10410023</v>
      </c>
      <c r="H75" s="42" t="s">
        <v>460</v>
      </c>
      <c r="I75" s="43">
        <v>15316872</v>
      </c>
    </row>
    <row r="76" spans="2:9" x14ac:dyDescent="0.25">
      <c r="B76" s="40" t="s">
        <v>362</v>
      </c>
      <c r="C76" s="46" t="s">
        <v>846</v>
      </c>
      <c r="D76" s="38" t="s">
        <v>792</v>
      </c>
      <c r="E76" s="39">
        <v>10410023</v>
      </c>
      <c r="H76" s="42" t="s">
        <v>461</v>
      </c>
      <c r="I76" s="43">
        <v>530144</v>
      </c>
    </row>
    <row r="77" spans="2:9" x14ac:dyDescent="0.25">
      <c r="B77" s="40" t="s">
        <v>362</v>
      </c>
      <c r="C77" s="46" t="s">
        <v>793</v>
      </c>
      <c r="D77" s="38" t="s">
        <v>794</v>
      </c>
      <c r="E77" s="39">
        <v>20230009</v>
      </c>
      <c r="H77" s="42" t="s">
        <v>462</v>
      </c>
      <c r="I77" s="43">
        <v>71396622</v>
      </c>
    </row>
    <row r="78" spans="2:9" x14ac:dyDescent="0.25">
      <c r="B78" s="40" t="s">
        <v>362</v>
      </c>
      <c r="C78" s="46" t="s">
        <v>847</v>
      </c>
      <c r="D78" s="38" t="s">
        <v>795</v>
      </c>
      <c r="E78" s="39">
        <v>10410023</v>
      </c>
      <c r="H78" s="42" t="s">
        <v>463</v>
      </c>
      <c r="I78" s="43">
        <v>8342412</v>
      </c>
    </row>
    <row r="79" spans="2:9" x14ac:dyDescent="0.25">
      <c r="B79" s="40" t="s">
        <v>364</v>
      </c>
      <c r="C79" s="46" t="s">
        <v>835</v>
      </c>
      <c r="D79" s="38" t="s">
        <v>667</v>
      </c>
      <c r="E79" s="39">
        <v>10410023</v>
      </c>
      <c r="H79" s="42" t="s">
        <v>464</v>
      </c>
      <c r="I79" s="43">
        <v>8311845</v>
      </c>
    </row>
    <row r="80" spans="2:9" x14ac:dyDescent="0.25">
      <c r="B80" s="40" t="s">
        <v>364</v>
      </c>
      <c r="C80" s="46" t="s">
        <v>225</v>
      </c>
      <c r="D80" s="38" t="s">
        <v>120</v>
      </c>
      <c r="E80" s="39">
        <v>10410023</v>
      </c>
      <c r="H80" s="42" t="s">
        <v>465</v>
      </c>
      <c r="I80" s="43">
        <v>71748199</v>
      </c>
    </row>
    <row r="81" spans="2:9" x14ac:dyDescent="0.25">
      <c r="B81" s="40" t="s">
        <v>364</v>
      </c>
      <c r="C81" s="46" t="s">
        <v>226</v>
      </c>
      <c r="D81" s="38" t="s">
        <v>121</v>
      </c>
      <c r="E81" s="39">
        <v>20230009</v>
      </c>
      <c r="H81" s="42" t="s">
        <v>466</v>
      </c>
      <c r="I81" s="45" t="s">
        <v>601</v>
      </c>
    </row>
    <row r="82" spans="2:9" ht="24" x14ac:dyDescent="0.25">
      <c r="B82" s="40" t="s">
        <v>342</v>
      </c>
      <c r="C82" s="46" t="s">
        <v>227</v>
      </c>
      <c r="D82" s="38" t="s">
        <v>122</v>
      </c>
      <c r="E82" s="39">
        <v>20230009</v>
      </c>
      <c r="H82" s="42" t="s">
        <v>467</v>
      </c>
      <c r="I82" s="43">
        <v>39181036</v>
      </c>
    </row>
    <row r="83" spans="2:9" ht="24" x14ac:dyDescent="0.25">
      <c r="B83" s="40" t="s">
        <v>342</v>
      </c>
      <c r="C83" s="46" t="s">
        <v>228</v>
      </c>
      <c r="D83" s="38" t="s">
        <v>123</v>
      </c>
      <c r="E83" s="39">
        <v>20230009</v>
      </c>
      <c r="H83" s="42" t="s">
        <v>468</v>
      </c>
      <c r="I83" s="43">
        <v>51983999</v>
      </c>
    </row>
    <row r="84" spans="2:9" x14ac:dyDescent="0.25">
      <c r="B84" s="40" t="s">
        <v>9</v>
      </c>
      <c r="C84" s="46" t="s">
        <v>229</v>
      </c>
      <c r="D84" s="38" t="s">
        <v>124</v>
      </c>
      <c r="E84" s="39">
        <v>20230009</v>
      </c>
      <c r="H84" s="42" t="s">
        <v>469</v>
      </c>
      <c r="I84" s="43">
        <v>29331701</v>
      </c>
    </row>
    <row r="85" spans="2:9" ht="24" x14ac:dyDescent="0.25">
      <c r="B85" s="40" t="s">
        <v>9</v>
      </c>
      <c r="C85" s="46" t="s">
        <v>668</v>
      </c>
      <c r="D85" s="38" t="s">
        <v>669</v>
      </c>
      <c r="E85" s="39">
        <v>20230009</v>
      </c>
      <c r="H85" s="42" t="s">
        <v>470</v>
      </c>
      <c r="I85" s="43">
        <v>39167183</v>
      </c>
    </row>
    <row r="86" spans="2:9" x14ac:dyDescent="0.25">
      <c r="B86" s="40" t="s">
        <v>9</v>
      </c>
      <c r="C86" s="46" t="s">
        <v>230</v>
      </c>
      <c r="D86" s="38" t="s">
        <v>125</v>
      </c>
      <c r="E86" s="39">
        <v>20230009</v>
      </c>
      <c r="H86" s="42" t="s">
        <v>471</v>
      </c>
      <c r="I86" s="43">
        <v>43057165</v>
      </c>
    </row>
    <row r="87" spans="2:9" ht="24" x14ac:dyDescent="0.25">
      <c r="B87" s="40" t="s">
        <v>9</v>
      </c>
      <c r="C87" s="46" t="s">
        <v>796</v>
      </c>
      <c r="D87" s="38" t="s">
        <v>797</v>
      </c>
      <c r="E87" s="39">
        <v>20230009</v>
      </c>
      <c r="H87" s="42" t="s">
        <v>472</v>
      </c>
      <c r="I87" s="43">
        <v>41925468</v>
      </c>
    </row>
    <row r="88" spans="2:9" ht="36" x14ac:dyDescent="0.25">
      <c r="B88" s="40" t="s">
        <v>343</v>
      </c>
      <c r="C88" s="46" t="s">
        <v>775</v>
      </c>
      <c r="D88" s="38" t="s">
        <v>776</v>
      </c>
      <c r="E88" s="39">
        <v>202300019</v>
      </c>
      <c r="H88" s="42" t="s">
        <v>473</v>
      </c>
      <c r="I88" s="43">
        <v>19350413</v>
      </c>
    </row>
    <row r="89" spans="2:9" ht="24" x14ac:dyDescent="0.25">
      <c r="B89" s="40" t="s">
        <v>366</v>
      </c>
      <c r="C89" s="46" t="s">
        <v>670</v>
      </c>
      <c r="D89" s="38" t="s">
        <v>671</v>
      </c>
      <c r="E89" s="39">
        <v>20230009</v>
      </c>
      <c r="H89" s="42" t="s">
        <v>474</v>
      </c>
      <c r="I89" s="43">
        <v>1128393225</v>
      </c>
    </row>
    <row r="90" spans="2:9" ht="24" x14ac:dyDescent="0.25">
      <c r="B90" s="40" t="s">
        <v>366</v>
      </c>
      <c r="C90" s="46" t="s">
        <v>231</v>
      </c>
      <c r="D90" s="38" t="s">
        <v>126</v>
      </c>
      <c r="E90" s="39">
        <v>20230009</v>
      </c>
      <c r="H90" s="42" t="s">
        <v>475</v>
      </c>
      <c r="I90" s="43">
        <v>63508258</v>
      </c>
    </row>
    <row r="91" spans="2:9" ht="24" x14ac:dyDescent="0.25">
      <c r="B91" s="40" t="s">
        <v>366</v>
      </c>
      <c r="C91" s="46" t="s">
        <v>232</v>
      </c>
      <c r="D91" s="38" t="s">
        <v>127</v>
      </c>
      <c r="E91" s="39">
        <v>20230009</v>
      </c>
      <c r="H91" s="42" t="s">
        <v>476</v>
      </c>
      <c r="I91" s="43">
        <v>71032491</v>
      </c>
    </row>
    <row r="92" spans="2:9" ht="24" x14ac:dyDescent="0.25">
      <c r="B92" s="40" t="s">
        <v>366</v>
      </c>
      <c r="C92" s="46" t="s">
        <v>747</v>
      </c>
      <c r="D92" s="38" t="s">
        <v>748</v>
      </c>
      <c r="E92" s="39">
        <v>20230019</v>
      </c>
      <c r="H92" s="42" t="s">
        <v>477</v>
      </c>
      <c r="I92" s="43">
        <v>70047625</v>
      </c>
    </row>
    <row r="93" spans="2:9" ht="24" x14ac:dyDescent="0.25">
      <c r="B93" s="40" t="s">
        <v>366</v>
      </c>
      <c r="C93" s="46" t="s">
        <v>878</v>
      </c>
      <c r="D93" s="38" t="s">
        <v>879</v>
      </c>
      <c r="E93" s="39">
        <v>20230009</v>
      </c>
      <c r="H93" s="42" t="s">
        <v>478</v>
      </c>
      <c r="I93" s="43">
        <v>71737460</v>
      </c>
    </row>
    <row r="94" spans="2:9" ht="24" x14ac:dyDescent="0.25">
      <c r="B94" s="40" t="s">
        <v>366</v>
      </c>
      <c r="C94" s="46" t="s">
        <v>880</v>
      </c>
      <c r="D94" s="38" t="s">
        <v>881</v>
      </c>
      <c r="E94" s="39">
        <v>20230009</v>
      </c>
      <c r="H94" s="42" t="s">
        <v>479</v>
      </c>
      <c r="I94" s="43">
        <v>98523088</v>
      </c>
    </row>
    <row r="95" spans="2:9" ht="24" x14ac:dyDescent="0.25">
      <c r="B95" s="40" t="s">
        <v>382</v>
      </c>
      <c r="C95" s="46" t="s">
        <v>749</v>
      </c>
      <c r="D95" s="38" t="s">
        <v>333</v>
      </c>
      <c r="E95" s="39">
        <v>20230009</v>
      </c>
      <c r="H95" s="42" t="s">
        <v>480</v>
      </c>
      <c r="I95" s="43">
        <v>70052102</v>
      </c>
    </row>
    <row r="96" spans="2:9" x14ac:dyDescent="0.25">
      <c r="B96" s="40" t="s">
        <v>382</v>
      </c>
      <c r="C96" s="46" t="s">
        <v>233</v>
      </c>
      <c r="D96" s="38" t="s">
        <v>129</v>
      </c>
      <c r="E96" s="39">
        <v>20230009</v>
      </c>
      <c r="H96" s="42" t="s">
        <v>481</v>
      </c>
      <c r="I96" s="43">
        <v>3352118</v>
      </c>
    </row>
    <row r="97" spans="2:9" x14ac:dyDescent="0.25">
      <c r="B97" s="40" t="s">
        <v>367</v>
      </c>
      <c r="C97" s="46" t="s">
        <v>633</v>
      </c>
      <c r="D97" s="38" t="s">
        <v>128</v>
      </c>
      <c r="E97" s="39">
        <v>20230009</v>
      </c>
      <c r="H97" s="42" t="s">
        <v>482</v>
      </c>
      <c r="I97" s="43">
        <v>8061064</v>
      </c>
    </row>
    <row r="98" spans="2:9" x14ac:dyDescent="0.25">
      <c r="B98" s="40" t="s">
        <v>344</v>
      </c>
      <c r="C98" s="46" t="s">
        <v>836</v>
      </c>
      <c r="D98" s="38" t="s">
        <v>672</v>
      </c>
      <c r="E98" s="39">
        <v>10410023</v>
      </c>
      <c r="H98" s="42" t="s">
        <v>483</v>
      </c>
      <c r="I98" s="43">
        <v>8284200</v>
      </c>
    </row>
    <row r="99" spans="2:9" x14ac:dyDescent="0.25">
      <c r="B99" s="40" t="s">
        <v>344</v>
      </c>
      <c r="C99" s="46" t="s">
        <v>837</v>
      </c>
      <c r="D99" s="38" t="s">
        <v>673</v>
      </c>
      <c r="E99" s="39">
        <v>10410023</v>
      </c>
      <c r="H99" s="42" t="s">
        <v>484</v>
      </c>
      <c r="I99" s="43">
        <v>309159</v>
      </c>
    </row>
    <row r="100" spans="2:9" x14ac:dyDescent="0.25">
      <c r="B100" s="40" t="s">
        <v>345</v>
      </c>
      <c r="C100" s="46" t="s">
        <v>234</v>
      </c>
      <c r="D100" s="38" t="s">
        <v>130</v>
      </c>
      <c r="E100" s="39">
        <v>20230009</v>
      </c>
      <c r="H100" s="42" t="s">
        <v>485</v>
      </c>
      <c r="I100" s="43">
        <v>72196999</v>
      </c>
    </row>
    <row r="101" spans="2:9" x14ac:dyDescent="0.25">
      <c r="B101" s="40" t="s">
        <v>345</v>
      </c>
      <c r="C101" s="46" t="s">
        <v>838</v>
      </c>
      <c r="D101" s="38" t="s">
        <v>674</v>
      </c>
      <c r="E101" s="39">
        <v>10410023</v>
      </c>
      <c r="H101" s="42" t="s">
        <v>486</v>
      </c>
      <c r="I101" s="43">
        <v>8292512</v>
      </c>
    </row>
    <row r="102" spans="2:9" ht="24" x14ac:dyDescent="0.25">
      <c r="B102" s="40" t="s">
        <v>620</v>
      </c>
      <c r="C102" s="46" t="s">
        <v>750</v>
      </c>
      <c r="D102" s="38" t="s">
        <v>634</v>
      </c>
      <c r="E102" s="39">
        <v>20230009</v>
      </c>
      <c r="H102" s="42" t="s">
        <v>487</v>
      </c>
      <c r="I102" s="43">
        <v>71769124</v>
      </c>
    </row>
    <row r="103" spans="2:9" ht="24" x14ac:dyDescent="0.25">
      <c r="B103" s="40" t="s">
        <v>368</v>
      </c>
      <c r="C103" s="46" t="s">
        <v>235</v>
      </c>
      <c r="D103" s="38" t="s">
        <v>131</v>
      </c>
      <c r="E103" s="39">
        <v>20230009</v>
      </c>
      <c r="H103" s="42" t="s">
        <v>488</v>
      </c>
      <c r="I103" s="43">
        <v>71598955</v>
      </c>
    </row>
    <row r="104" spans="2:9" x14ac:dyDescent="0.25">
      <c r="B104" s="40" t="s">
        <v>369</v>
      </c>
      <c r="C104" s="46" t="s">
        <v>798</v>
      </c>
      <c r="D104" s="38" t="s">
        <v>799</v>
      </c>
      <c r="E104" s="39">
        <v>20230009</v>
      </c>
      <c r="H104" s="42" t="s">
        <v>489</v>
      </c>
      <c r="I104" s="43">
        <v>16774154</v>
      </c>
    </row>
    <row r="105" spans="2:9" x14ac:dyDescent="0.25">
      <c r="B105" s="40" t="s">
        <v>370</v>
      </c>
      <c r="C105" s="46" t="s">
        <v>236</v>
      </c>
      <c r="D105" s="38" t="s">
        <v>132</v>
      </c>
      <c r="E105" s="39">
        <v>20230009</v>
      </c>
      <c r="H105" s="42" t="s">
        <v>490</v>
      </c>
      <c r="I105" s="43">
        <v>71718217</v>
      </c>
    </row>
    <row r="106" spans="2:9" ht="24" x14ac:dyDescent="0.25">
      <c r="B106" s="40" t="s">
        <v>370</v>
      </c>
      <c r="C106" s="46" t="s">
        <v>237</v>
      </c>
      <c r="D106" s="38" t="s">
        <v>133</v>
      </c>
      <c r="E106" s="39">
        <v>20230009</v>
      </c>
      <c r="H106" s="42" t="s">
        <v>491</v>
      </c>
      <c r="I106" s="43">
        <v>98522591</v>
      </c>
    </row>
    <row r="107" spans="2:9" x14ac:dyDescent="0.25">
      <c r="B107" s="40" t="s">
        <v>370</v>
      </c>
      <c r="C107" s="46" t="s">
        <v>238</v>
      </c>
      <c r="D107" s="38" t="s">
        <v>134</v>
      </c>
      <c r="E107" s="39">
        <v>20230009</v>
      </c>
      <c r="H107" s="42" t="s">
        <v>492</v>
      </c>
      <c r="I107" s="43">
        <v>71738910</v>
      </c>
    </row>
    <row r="108" spans="2:9" x14ac:dyDescent="0.25">
      <c r="B108" s="40" t="s">
        <v>370</v>
      </c>
      <c r="C108" s="46" t="s">
        <v>239</v>
      </c>
      <c r="D108" s="38" t="s">
        <v>135</v>
      </c>
      <c r="E108" s="39">
        <v>20230009</v>
      </c>
      <c r="H108" s="42" t="s">
        <v>493</v>
      </c>
      <c r="I108" s="43">
        <v>8298535</v>
      </c>
    </row>
    <row r="109" spans="2:9" ht="24" x14ac:dyDescent="0.25">
      <c r="B109" s="40" t="s">
        <v>370</v>
      </c>
      <c r="C109" s="46" t="s">
        <v>240</v>
      </c>
      <c r="D109" s="38" t="s">
        <v>136</v>
      </c>
      <c r="E109" s="39">
        <v>20230009</v>
      </c>
      <c r="H109" s="42" t="s">
        <v>494</v>
      </c>
      <c r="I109" s="43" t="s">
        <v>601</v>
      </c>
    </row>
    <row r="110" spans="2:9" ht="24" x14ac:dyDescent="0.25">
      <c r="B110" s="40" t="s">
        <v>11</v>
      </c>
      <c r="C110" s="46" t="s">
        <v>675</v>
      </c>
      <c r="D110" s="38" t="s">
        <v>676</v>
      </c>
      <c r="E110" s="39">
        <v>20230009</v>
      </c>
      <c r="H110" s="42" t="s">
        <v>495</v>
      </c>
      <c r="I110" s="43">
        <v>79802985</v>
      </c>
    </row>
    <row r="111" spans="2:9" ht="24" x14ac:dyDescent="0.25">
      <c r="B111" s="40" t="s">
        <v>11</v>
      </c>
      <c r="C111" s="46" t="s">
        <v>853</v>
      </c>
      <c r="D111" s="38" t="s">
        <v>140</v>
      </c>
      <c r="E111" s="39">
        <v>20230009</v>
      </c>
      <c r="H111" s="42" t="s">
        <v>496</v>
      </c>
      <c r="I111" s="45">
        <v>70129564</v>
      </c>
    </row>
    <row r="112" spans="2:9" ht="24" x14ac:dyDescent="0.25">
      <c r="B112" s="40" t="s">
        <v>11</v>
      </c>
      <c r="C112" s="46" t="s">
        <v>241</v>
      </c>
      <c r="D112" s="38" t="s">
        <v>854</v>
      </c>
      <c r="E112" s="39">
        <v>20230009</v>
      </c>
      <c r="H112" s="42" t="s">
        <v>497</v>
      </c>
      <c r="I112" s="43">
        <v>313558</v>
      </c>
    </row>
    <row r="113" spans="2:9" ht="24" x14ac:dyDescent="0.25">
      <c r="B113" s="40" t="s">
        <v>11</v>
      </c>
      <c r="C113" s="46" t="s">
        <v>242</v>
      </c>
      <c r="D113" s="38" t="s">
        <v>137</v>
      </c>
      <c r="E113" s="39">
        <v>20230009</v>
      </c>
      <c r="H113" s="42" t="s">
        <v>498</v>
      </c>
      <c r="I113" s="43">
        <v>388446</v>
      </c>
    </row>
    <row r="114" spans="2:9" x14ac:dyDescent="0.25">
      <c r="B114" s="40" t="s">
        <v>11</v>
      </c>
      <c r="C114" s="46" t="s">
        <v>243</v>
      </c>
      <c r="D114" s="38" t="s">
        <v>138</v>
      </c>
      <c r="E114" s="39">
        <v>20230009</v>
      </c>
      <c r="H114" s="42" t="s">
        <v>499</v>
      </c>
      <c r="I114" s="43">
        <v>98519294</v>
      </c>
    </row>
    <row r="115" spans="2:9" x14ac:dyDescent="0.25">
      <c r="B115" s="40" t="s">
        <v>11</v>
      </c>
      <c r="C115" s="46" t="s">
        <v>848</v>
      </c>
      <c r="D115" s="38" t="s">
        <v>677</v>
      </c>
      <c r="E115" s="39">
        <v>10410023</v>
      </c>
      <c r="H115" s="42" t="s">
        <v>500</v>
      </c>
      <c r="I115" s="43">
        <v>71658672</v>
      </c>
    </row>
    <row r="116" spans="2:9" x14ac:dyDescent="0.25">
      <c r="B116" s="40" t="s">
        <v>11</v>
      </c>
      <c r="C116" s="46" t="s">
        <v>244</v>
      </c>
      <c r="D116" s="38" t="s">
        <v>139</v>
      </c>
      <c r="E116" s="39">
        <v>20230009</v>
      </c>
      <c r="H116" s="42" t="s">
        <v>774</v>
      </c>
      <c r="I116" s="43">
        <v>98671489</v>
      </c>
    </row>
    <row r="117" spans="2:9" ht="24" x14ac:dyDescent="0.25">
      <c r="B117" s="40" t="s">
        <v>11</v>
      </c>
      <c r="C117" s="46" t="s">
        <v>245</v>
      </c>
      <c r="D117" s="38" t="s">
        <v>141</v>
      </c>
      <c r="E117" s="39">
        <v>20230009</v>
      </c>
      <c r="H117" s="42" t="s">
        <v>501</v>
      </c>
      <c r="I117" s="43">
        <v>8125090</v>
      </c>
    </row>
    <row r="118" spans="2:9" ht="24" x14ac:dyDescent="0.25">
      <c r="B118" s="40" t="s">
        <v>11</v>
      </c>
      <c r="C118" s="46" t="s">
        <v>246</v>
      </c>
      <c r="D118" s="38" t="s">
        <v>142</v>
      </c>
      <c r="E118" s="39">
        <v>20230009</v>
      </c>
      <c r="H118" s="42" t="s">
        <v>502</v>
      </c>
      <c r="I118" s="43">
        <v>7540911</v>
      </c>
    </row>
    <row r="119" spans="2:9" ht="24" x14ac:dyDescent="0.25">
      <c r="B119" s="40" t="s">
        <v>11</v>
      </c>
      <c r="C119" s="46" t="s">
        <v>606</v>
      </c>
      <c r="D119" s="38" t="s">
        <v>611</v>
      </c>
      <c r="E119" s="39">
        <v>20230009</v>
      </c>
      <c r="H119" s="42" t="s">
        <v>503</v>
      </c>
      <c r="I119" s="43">
        <v>71659205</v>
      </c>
    </row>
    <row r="120" spans="2:9" x14ac:dyDescent="0.25">
      <c r="B120" s="40" t="s">
        <v>11</v>
      </c>
      <c r="C120" s="46" t="s">
        <v>607</v>
      </c>
      <c r="D120" s="38" t="s">
        <v>612</v>
      </c>
      <c r="E120" s="39">
        <v>20230009</v>
      </c>
      <c r="H120" s="42" t="s">
        <v>504</v>
      </c>
      <c r="I120" s="43">
        <v>15517825</v>
      </c>
    </row>
    <row r="121" spans="2:9" x14ac:dyDescent="0.25">
      <c r="B121" s="40" t="s">
        <v>11</v>
      </c>
      <c r="C121" s="46" t="s">
        <v>678</v>
      </c>
      <c r="D121" s="38" t="s">
        <v>679</v>
      </c>
      <c r="E121" s="39">
        <v>10410023</v>
      </c>
      <c r="H121" s="42" t="s">
        <v>505</v>
      </c>
      <c r="I121" s="43">
        <v>98622265</v>
      </c>
    </row>
    <row r="122" spans="2:9" x14ac:dyDescent="0.25">
      <c r="B122" s="40" t="s">
        <v>11</v>
      </c>
      <c r="C122" s="46" t="s">
        <v>839</v>
      </c>
      <c r="D122" s="38" t="s">
        <v>751</v>
      </c>
      <c r="E122" s="39">
        <v>10410023</v>
      </c>
      <c r="H122" s="42" t="s">
        <v>506</v>
      </c>
      <c r="I122" s="43">
        <v>98640721</v>
      </c>
    </row>
    <row r="123" spans="2:9" x14ac:dyDescent="0.25">
      <c r="B123" s="37" t="s">
        <v>11</v>
      </c>
      <c r="C123" s="46" t="s">
        <v>800</v>
      </c>
      <c r="D123" s="38" t="s">
        <v>801</v>
      </c>
      <c r="E123" s="39">
        <v>20230009</v>
      </c>
      <c r="H123" s="42" t="s">
        <v>507</v>
      </c>
      <c r="I123" s="43">
        <v>71779021</v>
      </c>
    </row>
    <row r="124" spans="2:9" x14ac:dyDescent="0.25">
      <c r="B124" s="40" t="s">
        <v>12</v>
      </c>
      <c r="C124" s="46" t="s">
        <v>849</v>
      </c>
      <c r="D124" s="38" t="s">
        <v>680</v>
      </c>
      <c r="E124" s="39">
        <v>10410023</v>
      </c>
      <c r="H124" s="42" t="s">
        <v>508</v>
      </c>
      <c r="I124" s="43">
        <v>71690172</v>
      </c>
    </row>
    <row r="125" spans="2:9" x14ac:dyDescent="0.25">
      <c r="B125" s="40" t="s">
        <v>12</v>
      </c>
      <c r="C125" s="46" t="s">
        <v>247</v>
      </c>
      <c r="D125" s="38" t="s">
        <v>143</v>
      </c>
      <c r="E125" s="39">
        <v>20230009</v>
      </c>
      <c r="H125" s="42" t="s">
        <v>509</v>
      </c>
      <c r="I125" s="43">
        <v>79324536</v>
      </c>
    </row>
    <row r="126" spans="2:9" ht="24" x14ac:dyDescent="0.25">
      <c r="B126" s="40" t="s">
        <v>12</v>
      </c>
      <c r="C126" s="46" t="s">
        <v>752</v>
      </c>
      <c r="D126" s="38" t="s">
        <v>753</v>
      </c>
      <c r="E126" s="39">
        <v>20230009</v>
      </c>
      <c r="H126" s="42" t="s">
        <v>510</v>
      </c>
      <c r="I126" s="43">
        <v>74185664</v>
      </c>
    </row>
    <row r="127" spans="2:9" x14ac:dyDescent="0.25">
      <c r="B127" s="40" t="s">
        <v>12</v>
      </c>
      <c r="C127" s="46" t="s">
        <v>870</v>
      </c>
      <c r="D127" s="38" t="s">
        <v>871</v>
      </c>
      <c r="E127" s="39">
        <v>20230019</v>
      </c>
      <c r="H127" s="42" t="s">
        <v>511</v>
      </c>
      <c r="I127" s="43">
        <v>43733154</v>
      </c>
    </row>
    <row r="128" spans="2:9" x14ac:dyDescent="0.25">
      <c r="B128" s="37" t="s">
        <v>777</v>
      </c>
      <c r="C128" s="46" t="s">
        <v>802</v>
      </c>
      <c r="D128" s="38" t="s">
        <v>803</v>
      </c>
      <c r="E128" s="39">
        <v>20230009</v>
      </c>
      <c r="H128" s="42" t="s">
        <v>512</v>
      </c>
      <c r="I128" s="43" t="s">
        <v>513</v>
      </c>
    </row>
    <row r="129" spans="2:9" x14ac:dyDescent="0.25">
      <c r="B129" s="37" t="s">
        <v>373</v>
      </c>
      <c r="C129" s="46" t="s">
        <v>248</v>
      </c>
      <c r="D129" s="38" t="s">
        <v>144</v>
      </c>
      <c r="E129" s="39">
        <v>20230014</v>
      </c>
      <c r="H129" s="42" t="s">
        <v>514</v>
      </c>
      <c r="I129" s="43">
        <v>71373121</v>
      </c>
    </row>
    <row r="130" spans="2:9" ht="36" x14ac:dyDescent="0.25">
      <c r="B130" s="37" t="s">
        <v>373</v>
      </c>
      <c r="C130" s="46" t="s">
        <v>249</v>
      </c>
      <c r="D130" s="38" t="s">
        <v>754</v>
      </c>
      <c r="E130" s="39">
        <v>20230014</v>
      </c>
      <c r="H130" s="42" t="s">
        <v>515</v>
      </c>
      <c r="I130" s="43" t="s">
        <v>601</v>
      </c>
    </row>
    <row r="131" spans="2:9" x14ac:dyDescent="0.25">
      <c r="B131" s="37" t="s">
        <v>373</v>
      </c>
      <c r="C131" s="46" t="s">
        <v>250</v>
      </c>
      <c r="D131" s="38" t="s">
        <v>145</v>
      </c>
      <c r="E131" s="39">
        <v>20230014</v>
      </c>
      <c r="H131" s="42" t="s">
        <v>516</v>
      </c>
      <c r="I131" s="45">
        <v>43589188</v>
      </c>
    </row>
    <row r="132" spans="2:9" x14ac:dyDescent="0.25">
      <c r="B132" s="37" t="s">
        <v>373</v>
      </c>
      <c r="C132" s="46" t="s">
        <v>251</v>
      </c>
      <c r="D132" s="38" t="s">
        <v>146</v>
      </c>
      <c r="E132" s="39">
        <v>20230014</v>
      </c>
      <c r="H132" s="42" t="s">
        <v>517</v>
      </c>
      <c r="I132" s="43">
        <v>43631379</v>
      </c>
    </row>
    <row r="133" spans="2:9" x14ac:dyDescent="0.25">
      <c r="B133" s="37" t="s">
        <v>373</v>
      </c>
      <c r="C133" s="46" t="s">
        <v>249</v>
      </c>
      <c r="D133" s="38" t="s">
        <v>147</v>
      </c>
      <c r="E133" s="39">
        <v>20230014</v>
      </c>
      <c r="H133" s="42" t="s">
        <v>518</v>
      </c>
      <c r="I133" s="43">
        <v>43574075</v>
      </c>
    </row>
    <row r="134" spans="2:9" ht="36" x14ac:dyDescent="0.25">
      <c r="B134" s="40" t="s">
        <v>373</v>
      </c>
      <c r="C134" s="46" t="s">
        <v>250</v>
      </c>
      <c r="D134" s="38" t="s">
        <v>755</v>
      </c>
      <c r="E134" s="39">
        <v>20230014</v>
      </c>
      <c r="H134" s="42" t="s">
        <v>519</v>
      </c>
      <c r="I134" s="43">
        <v>32450553</v>
      </c>
    </row>
    <row r="135" spans="2:9" ht="36" x14ac:dyDescent="0.25">
      <c r="B135" s="40" t="s">
        <v>373</v>
      </c>
      <c r="C135" s="46" t="s">
        <v>248</v>
      </c>
      <c r="D135" s="38" t="s">
        <v>756</v>
      </c>
      <c r="E135" s="39">
        <v>20230014</v>
      </c>
      <c r="H135" s="42" t="s">
        <v>520</v>
      </c>
      <c r="I135" s="43">
        <v>71850545</v>
      </c>
    </row>
    <row r="136" spans="2:9" x14ac:dyDescent="0.25">
      <c r="B136" s="40" t="s">
        <v>373</v>
      </c>
      <c r="C136" s="46" t="s">
        <v>252</v>
      </c>
      <c r="D136" s="38" t="s">
        <v>148</v>
      </c>
      <c r="E136" s="39">
        <v>20230009</v>
      </c>
      <c r="H136" s="42" t="s">
        <v>521</v>
      </c>
      <c r="I136" s="43">
        <v>71715701</v>
      </c>
    </row>
    <row r="137" spans="2:9" ht="24" x14ac:dyDescent="0.25">
      <c r="B137" s="40" t="s">
        <v>373</v>
      </c>
      <c r="C137" s="46" t="s">
        <v>253</v>
      </c>
      <c r="D137" s="38" t="s">
        <v>149</v>
      </c>
      <c r="E137" s="39">
        <v>20230009</v>
      </c>
      <c r="H137" s="42" t="s">
        <v>522</v>
      </c>
      <c r="I137" s="43">
        <v>93408901</v>
      </c>
    </row>
    <row r="138" spans="2:9" x14ac:dyDescent="0.25">
      <c r="B138" s="40" t="s">
        <v>375</v>
      </c>
      <c r="C138" s="46" t="s">
        <v>840</v>
      </c>
      <c r="D138" s="38" t="s">
        <v>681</v>
      </c>
      <c r="E138" s="39">
        <v>10410023</v>
      </c>
      <c r="H138" s="42" t="s">
        <v>523</v>
      </c>
      <c r="I138" s="43">
        <v>98762438</v>
      </c>
    </row>
    <row r="139" spans="2:9" ht="24" x14ac:dyDescent="0.25">
      <c r="B139" s="40" t="s">
        <v>375</v>
      </c>
      <c r="C139" s="46" t="s">
        <v>254</v>
      </c>
      <c r="D139" s="38" t="s">
        <v>150</v>
      </c>
      <c r="E139" s="39">
        <v>20230009</v>
      </c>
      <c r="H139" s="42" t="s">
        <v>524</v>
      </c>
      <c r="I139" s="43">
        <v>70052901</v>
      </c>
    </row>
    <row r="140" spans="2:9" x14ac:dyDescent="0.25">
      <c r="B140" s="40" t="s">
        <v>375</v>
      </c>
      <c r="C140" s="46" t="s">
        <v>804</v>
      </c>
      <c r="D140" s="38" t="s">
        <v>805</v>
      </c>
      <c r="E140" s="39">
        <v>20230009</v>
      </c>
      <c r="H140" s="42" t="s">
        <v>525</v>
      </c>
      <c r="I140" s="43">
        <v>71374326</v>
      </c>
    </row>
    <row r="141" spans="2:9" x14ac:dyDescent="0.25">
      <c r="B141" s="40" t="s">
        <v>13</v>
      </c>
      <c r="C141" s="46" t="s">
        <v>255</v>
      </c>
      <c r="D141" s="38" t="s">
        <v>151</v>
      </c>
      <c r="E141" s="39">
        <v>20230009</v>
      </c>
      <c r="H141" s="42" t="s">
        <v>526</v>
      </c>
      <c r="I141" s="43">
        <v>15319469</v>
      </c>
    </row>
    <row r="142" spans="2:9" x14ac:dyDescent="0.25">
      <c r="B142" s="40" t="s">
        <v>13</v>
      </c>
      <c r="C142" s="46" t="s">
        <v>256</v>
      </c>
      <c r="D142" s="38" t="s">
        <v>152</v>
      </c>
      <c r="E142" s="39">
        <v>20230009</v>
      </c>
      <c r="H142" s="42" t="s">
        <v>527</v>
      </c>
      <c r="I142" s="43">
        <v>71600472</v>
      </c>
    </row>
    <row r="143" spans="2:9" x14ac:dyDescent="0.25">
      <c r="B143" s="40" t="s">
        <v>13</v>
      </c>
      <c r="C143" s="46" t="s">
        <v>713</v>
      </c>
      <c r="D143" s="38" t="s">
        <v>153</v>
      </c>
      <c r="E143" s="39">
        <v>10410023</v>
      </c>
      <c r="H143" s="42" t="s">
        <v>528</v>
      </c>
      <c r="I143" s="43" t="s">
        <v>601</v>
      </c>
    </row>
    <row r="144" spans="2:9" x14ac:dyDescent="0.25">
      <c r="B144" s="40" t="s">
        <v>13</v>
      </c>
      <c r="C144" s="46" t="s">
        <v>257</v>
      </c>
      <c r="D144" s="38" t="s">
        <v>154</v>
      </c>
      <c r="E144" s="39">
        <v>20230009</v>
      </c>
      <c r="H144" s="42" t="s">
        <v>529</v>
      </c>
      <c r="I144" s="45">
        <v>42978843</v>
      </c>
    </row>
    <row r="145" spans="2:9" x14ac:dyDescent="0.25">
      <c r="B145" s="40" t="s">
        <v>13</v>
      </c>
      <c r="C145" s="46" t="s">
        <v>258</v>
      </c>
      <c r="D145" s="38" t="s">
        <v>155</v>
      </c>
      <c r="E145" s="39">
        <v>20230009</v>
      </c>
      <c r="H145" s="42" t="s">
        <v>530</v>
      </c>
      <c r="I145" s="43" t="s">
        <v>531</v>
      </c>
    </row>
    <row r="146" spans="2:9" x14ac:dyDescent="0.25">
      <c r="B146" s="40" t="s">
        <v>13</v>
      </c>
      <c r="C146" s="46" t="s">
        <v>259</v>
      </c>
      <c r="D146" s="38" t="s">
        <v>156</v>
      </c>
      <c r="E146" s="39">
        <v>20230009</v>
      </c>
      <c r="H146" s="42" t="s">
        <v>532</v>
      </c>
      <c r="I146" s="43">
        <v>18496076</v>
      </c>
    </row>
    <row r="147" spans="2:9" ht="24" x14ac:dyDescent="0.25">
      <c r="B147" s="40" t="s">
        <v>13</v>
      </c>
      <c r="C147" s="46" t="s">
        <v>260</v>
      </c>
      <c r="D147" s="38" t="s">
        <v>157</v>
      </c>
      <c r="E147" s="39">
        <v>20230009</v>
      </c>
      <c r="H147" s="42" t="s">
        <v>533</v>
      </c>
      <c r="I147" s="43">
        <v>37726659</v>
      </c>
    </row>
    <row r="148" spans="2:9" x14ac:dyDescent="0.25">
      <c r="B148" s="40" t="s">
        <v>13</v>
      </c>
      <c r="C148" s="46" t="s">
        <v>261</v>
      </c>
      <c r="D148" s="38" t="s">
        <v>158</v>
      </c>
      <c r="E148" s="39">
        <v>20230009</v>
      </c>
      <c r="H148" s="42" t="s">
        <v>534</v>
      </c>
      <c r="I148" s="43">
        <v>43736060</v>
      </c>
    </row>
    <row r="149" spans="2:9" x14ac:dyDescent="0.25">
      <c r="B149" s="48" t="s">
        <v>13</v>
      </c>
      <c r="C149" s="49" t="s">
        <v>850</v>
      </c>
      <c r="D149" s="50" t="s">
        <v>682</v>
      </c>
      <c r="E149" s="51">
        <v>10410023</v>
      </c>
      <c r="H149" s="42" t="s">
        <v>535</v>
      </c>
      <c r="I149" s="43">
        <v>43045140</v>
      </c>
    </row>
    <row r="150" spans="2:9" x14ac:dyDescent="0.25">
      <c r="B150" s="40" t="s">
        <v>13</v>
      </c>
      <c r="C150" s="46" t="s">
        <v>262</v>
      </c>
      <c r="D150" s="38" t="s">
        <v>159</v>
      </c>
      <c r="E150" s="39">
        <v>20230009</v>
      </c>
      <c r="H150" s="42" t="s">
        <v>536</v>
      </c>
      <c r="I150" s="43">
        <v>51782710</v>
      </c>
    </row>
    <row r="151" spans="2:9" ht="24" x14ac:dyDescent="0.25">
      <c r="B151" s="40" t="s">
        <v>13</v>
      </c>
      <c r="C151" s="46" t="s">
        <v>263</v>
      </c>
      <c r="D151" s="38" t="s">
        <v>160</v>
      </c>
      <c r="E151" s="39">
        <v>20230009</v>
      </c>
      <c r="H151" s="42" t="s">
        <v>537</v>
      </c>
      <c r="I151" s="43">
        <v>43754949</v>
      </c>
    </row>
    <row r="152" spans="2:9" x14ac:dyDescent="0.25">
      <c r="B152" s="40" t="s">
        <v>13</v>
      </c>
      <c r="C152" s="46" t="s">
        <v>635</v>
      </c>
      <c r="D152" s="38" t="s">
        <v>161</v>
      </c>
      <c r="E152" s="39">
        <v>20230009</v>
      </c>
      <c r="H152" s="42" t="s">
        <v>538</v>
      </c>
      <c r="I152" s="43">
        <v>32160433</v>
      </c>
    </row>
    <row r="153" spans="2:9" ht="24" x14ac:dyDescent="0.25">
      <c r="B153" s="40" t="s">
        <v>13</v>
      </c>
      <c r="C153" s="46" t="s">
        <v>757</v>
      </c>
      <c r="D153" s="38" t="s">
        <v>162</v>
      </c>
      <c r="E153" s="39">
        <v>20230009</v>
      </c>
      <c r="H153" s="42" t="s">
        <v>539</v>
      </c>
      <c r="I153" s="43">
        <v>43271158</v>
      </c>
    </row>
    <row r="154" spans="2:9" ht="24" x14ac:dyDescent="0.25">
      <c r="B154" s="40" t="s">
        <v>13</v>
      </c>
      <c r="C154" s="46" t="s">
        <v>806</v>
      </c>
      <c r="D154" s="38" t="s">
        <v>807</v>
      </c>
      <c r="E154" s="39">
        <v>20230009</v>
      </c>
      <c r="H154" s="42" t="s">
        <v>540</v>
      </c>
      <c r="I154" s="43">
        <v>42688146</v>
      </c>
    </row>
    <row r="155" spans="2:9" x14ac:dyDescent="0.25">
      <c r="B155" s="40" t="s">
        <v>13</v>
      </c>
      <c r="C155" s="46" t="s">
        <v>808</v>
      </c>
      <c r="D155" s="38" t="s">
        <v>809</v>
      </c>
      <c r="E155" s="39">
        <v>10410023</v>
      </c>
      <c r="H155" s="42" t="s">
        <v>541</v>
      </c>
      <c r="I155" s="43">
        <v>63306025</v>
      </c>
    </row>
    <row r="156" spans="2:9" x14ac:dyDescent="0.25">
      <c r="B156" s="40" t="s">
        <v>347</v>
      </c>
      <c r="C156" s="46" t="s">
        <v>841</v>
      </c>
      <c r="D156" s="38" t="s">
        <v>683</v>
      </c>
      <c r="E156" s="39">
        <v>10410023</v>
      </c>
      <c r="H156" s="42" t="s">
        <v>542</v>
      </c>
      <c r="I156" s="43">
        <v>43636595</v>
      </c>
    </row>
    <row r="157" spans="2:9" x14ac:dyDescent="0.25">
      <c r="B157" s="40" t="s">
        <v>347</v>
      </c>
      <c r="C157" s="46" t="s">
        <v>264</v>
      </c>
      <c r="D157" s="38" t="s">
        <v>163</v>
      </c>
      <c r="E157" s="39">
        <v>20230009</v>
      </c>
      <c r="H157" s="42" t="s">
        <v>543</v>
      </c>
      <c r="I157" s="43">
        <v>43820480</v>
      </c>
    </row>
    <row r="158" spans="2:9" ht="24" x14ac:dyDescent="0.25">
      <c r="B158" s="40" t="s">
        <v>347</v>
      </c>
      <c r="C158" s="46" t="s">
        <v>712</v>
      </c>
      <c r="D158" s="38" t="s">
        <v>164</v>
      </c>
      <c r="E158" s="39">
        <v>20230009</v>
      </c>
      <c r="H158" s="42" t="s">
        <v>544</v>
      </c>
      <c r="I158" s="43">
        <v>88251569</v>
      </c>
    </row>
    <row r="159" spans="2:9" x14ac:dyDescent="0.25">
      <c r="B159" s="40" t="s">
        <v>347</v>
      </c>
      <c r="C159" s="46" t="s">
        <v>711</v>
      </c>
      <c r="D159" s="38" t="s">
        <v>613</v>
      </c>
      <c r="E159" s="39">
        <v>20230009</v>
      </c>
      <c r="H159" s="42" t="s">
        <v>545</v>
      </c>
      <c r="I159" s="43">
        <v>98383434</v>
      </c>
    </row>
    <row r="160" spans="2:9" x14ac:dyDescent="0.25">
      <c r="B160" s="40" t="s">
        <v>347</v>
      </c>
      <c r="C160" s="46" t="s">
        <v>842</v>
      </c>
      <c r="D160" s="38" t="s">
        <v>684</v>
      </c>
      <c r="E160" s="39">
        <v>10410023</v>
      </c>
      <c r="H160" s="42" t="s">
        <v>546</v>
      </c>
      <c r="I160" s="43">
        <v>1017126818</v>
      </c>
    </row>
    <row r="161" spans="2:9" ht="24" x14ac:dyDescent="0.25">
      <c r="B161" s="40" t="s">
        <v>348</v>
      </c>
      <c r="C161" s="46" t="s">
        <v>758</v>
      </c>
      <c r="D161" s="38" t="s">
        <v>165</v>
      </c>
      <c r="E161" s="39">
        <v>20230009</v>
      </c>
      <c r="H161" s="42" t="s">
        <v>547</v>
      </c>
      <c r="I161" s="43">
        <v>52197727</v>
      </c>
    </row>
    <row r="162" spans="2:9" x14ac:dyDescent="0.25">
      <c r="B162" s="40" t="s">
        <v>348</v>
      </c>
      <c r="C162" s="46" t="s">
        <v>265</v>
      </c>
      <c r="D162" s="38" t="s">
        <v>166</v>
      </c>
      <c r="E162" s="39">
        <v>20230009</v>
      </c>
      <c r="H162" s="42" t="s">
        <v>548</v>
      </c>
      <c r="I162" s="43">
        <v>51706561</v>
      </c>
    </row>
    <row r="163" spans="2:9" ht="24" x14ac:dyDescent="0.25">
      <c r="B163" s="40" t="s">
        <v>348</v>
      </c>
      <c r="C163" s="46" t="s">
        <v>685</v>
      </c>
      <c r="D163" s="38" t="s">
        <v>686</v>
      </c>
      <c r="E163" s="39">
        <v>20230009</v>
      </c>
      <c r="H163" s="42" t="s">
        <v>549</v>
      </c>
      <c r="I163" s="43" t="s">
        <v>601</v>
      </c>
    </row>
    <row r="164" spans="2:9" x14ac:dyDescent="0.25">
      <c r="B164" s="40" t="s">
        <v>348</v>
      </c>
      <c r="C164" s="46" t="s">
        <v>266</v>
      </c>
      <c r="D164" s="38" t="s">
        <v>167</v>
      </c>
      <c r="E164" s="39">
        <v>20230009</v>
      </c>
      <c r="H164" s="42" t="s">
        <v>550</v>
      </c>
      <c r="I164" s="45" t="s">
        <v>601</v>
      </c>
    </row>
    <row r="165" spans="2:9" ht="24" x14ac:dyDescent="0.25">
      <c r="B165" s="40" t="s">
        <v>348</v>
      </c>
      <c r="C165" s="46" t="s">
        <v>267</v>
      </c>
      <c r="D165" s="38" t="s">
        <v>168</v>
      </c>
      <c r="E165" s="39">
        <v>20230009</v>
      </c>
      <c r="H165" s="42" t="s">
        <v>551</v>
      </c>
      <c r="I165" s="45">
        <v>32392138</v>
      </c>
    </row>
    <row r="166" spans="2:9" x14ac:dyDescent="0.25">
      <c r="B166" s="40" t="s">
        <v>348</v>
      </c>
      <c r="C166" s="46" t="s">
        <v>710</v>
      </c>
      <c r="D166" s="38" t="s">
        <v>614</v>
      </c>
      <c r="E166" s="39">
        <v>20230009</v>
      </c>
      <c r="H166" s="42" t="s">
        <v>552</v>
      </c>
      <c r="I166" s="43">
        <v>70561630</v>
      </c>
    </row>
    <row r="167" spans="2:9" x14ac:dyDescent="0.25">
      <c r="B167" s="40" t="s">
        <v>348</v>
      </c>
      <c r="C167" s="46" t="s">
        <v>843</v>
      </c>
      <c r="D167" s="38" t="s">
        <v>687</v>
      </c>
      <c r="E167" s="39">
        <v>10410023</v>
      </c>
      <c r="H167" s="42" t="s">
        <v>553</v>
      </c>
      <c r="I167" s="43">
        <v>98545035</v>
      </c>
    </row>
    <row r="168" spans="2:9" ht="24" x14ac:dyDescent="0.25">
      <c r="B168" s="40" t="s">
        <v>348</v>
      </c>
      <c r="C168" s="46" t="s">
        <v>268</v>
      </c>
      <c r="D168" s="38" t="s">
        <v>169</v>
      </c>
      <c r="E168" s="39">
        <v>20230009</v>
      </c>
      <c r="H168" s="42" t="s">
        <v>554</v>
      </c>
      <c r="I168" s="43">
        <v>103098312</v>
      </c>
    </row>
    <row r="169" spans="2:9" ht="24" x14ac:dyDescent="0.25">
      <c r="B169" s="40" t="s">
        <v>348</v>
      </c>
      <c r="C169" s="46" t="s">
        <v>759</v>
      </c>
      <c r="D169" s="38" t="s">
        <v>760</v>
      </c>
      <c r="E169" s="39">
        <v>10410023</v>
      </c>
      <c r="H169" s="42" t="s">
        <v>555</v>
      </c>
      <c r="I169" s="43">
        <v>42775166</v>
      </c>
    </row>
    <row r="170" spans="2:9" x14ac:dyDescent="0.25">
      <c r="B170" s="40" t="s">
        <v>348</v>
      </c>
      <c r="C170" s="46" t="s">
        <v>698</v>
      </c>
      <c r="D170" s="38" t="s">
        <v>699</v>
      </c>
      <c r="E170" s="39">
        <v>20230009</v>
      </c>
      <c r="H170" s="42" t="s">
        <v>556</v>
      </c>
      <c r="I170" s="43">
        <v>39355853</v>
      </c>
    </row>
    <row r="171" spans="2:9" x14ac:dyDescent="0.25">
      <c r="B171" s="40" t="s">
        <v>348</v>
      </c>
      <c r="C171" s="46" t="s">
        <v>293</v>
      </c>
      <c r="D171" s="38" t="s">
        <v>201</v>
      </c>
      <c r="E171" s="39">
        <v>20230009</v>
      </c>
      <c r="H171" s="42" t="s">
        <v>557</v>
      </c>
      <c r="I171" s="43">
        <v>43569251</v>
      </c>
    </row>
    <row r="172" spans="2:9" ht="24" x14ac:dyDescent="0.25">
      <c r="B172" s="40" t="s">
        <v>348</v>
      </c>
      <c r="C172" s="46" t="s">
        <v>761</v>
      </c>
      <c r="D172" s="38" t="s">
        <v>762</v>
      </c>
      <c r="E172" s="39">
        <v>20230009</v>
      </c>
      <c r="H172" s="42" t="s">
        <v>558</v>
      </c>
      <c r="I172" s="43">
        <v>24331389</v>
      </c>
    </row>
    <row r="173" spans="2:9" x14ac:dyDescent="0.25">
      <c r="B173" s="40" t="s">
        <v>348</v>
      </c>
      <c r="C173" s="46" t="s">
        <v>709</v>
      </c>
      <c r="D173" s="38" t="s">
        <v>332</v>
      </c>
      <c r="E173" s="39">
        <v>20230009</v>
      </c>
      <c r="H173" s="42" t="s">
        <v>559</v>
      </c>
      <c r="I173" s="43">
        <v>43261673</v>
      </c>
    </row>
    <row r="174" spans="2:9" ht="24" x14ac:dyDescent="0.25">
      <c r="B174" s="40" t="s">
        <v>348</v>
      </c>
      <c r="C174" s="46" t="s">
        <v>700</v>
      </c>
      <c r="D174" s="38" t="s">
        <v>202</v>
      </c>
      <c r="E174" s="39">
        <v>20230019</v>
      </c>
      <c r="H174" s="42" t="s">
        <v>560</v>
      </c>
      <c r="I174" s="43">
        <v>43973745</v>
      </c>
    </row>
    <row r="175" spans="2:9" ht="24" x14ac:dyDescent="0.25">
      <c r="B175" s="40" t="s">
        <v>348</v>
      </c>
      <c r="C175" s="46" t="s">
        <v>763</v>
      </c>
      <c r="D175" s="38" t="s">
        <v>764</v>
      </c>
      <c r="E175" s="39">
        <v>20230009</v>
      </c>
      <c r="H175" s="42" t="s">
        <v>561</v>
      </c>
      <c r="I175" s="43">
        <v>42792532</v>
      </c>
    </row>
    <row r="176" spans="2:9" ht="36" x14ac:dyDescent="0.25">
      <c r="B176" s="40" t="s">
        <v>348</v>
      </c>
      <c r="C176" s="46" t="s">
        <v>608</v>
      </c>
      <c r="D176" s="38" t="s">
        <v>617</v>
      </c>
      <c r="E176" s="39">
        <v>20230009</v>
      </c>
      <c r="H176" s="42" t="s">
        <v>562</v>
      </c>
      <c r="I176" s="43">
        <v>43273420</v>
      </c>
    </row>
    <row r="177" spans="2:9" x14ac:dyDescent="0.25">
      <c r="B177" s="40" t="s">
        <v>348</v>
      </c>
      <c r="C177" s="46" t="s">
        <v>873</v>
      </c>
      <c r="D177" s="38" t="s">
        <v>872</v>
      </c>
      <c r="E177" s="39">
        <v>20230009</v>
      </c>
      <c r="H177" s="42" t="s">
        <v>563</v>
      </c>
      <c r="I177" s="43">
        <v>71652459</v>
      </c>
    </row>
    <row r="178" spans="2:9" ht="24" x14ac:dyDescent="0.25">
      <c r="B178" s="40" t="s">
        <v>348</v>
      </c>
      <c r="C178" s="46" t="s">
        <v>765</v>
      </c>
      <c r="D178" s="38" t="s">
        <v>618</v>
      </c>
      <c r="E178" s="39">
        <v>20230009</v>
      </c>
      <c r="H178" s="42" t="s">
        <v>564</v>
      </c>
      <c r="I178" s="43">
        <v>10285050</v>
      </c>
    </row>
    <row r="179" spans="2:9" ht="24" x14ac:dyDescent="0.25">
      <c r="B179" s="40" t="s">
        <v>348</v>
      </c>
      <c r="C179" s="46" t="s">
        <v>766</v>
      </c>
      <c r="D179" s="38" t="s">
        <v>646</v>
      </c>
      <c r="E179" s="39">
        <v>20230009</v>
      </c>
      <c r="H179" s="42" t="s">
        <v>565</v>
      </c>
      <c r="I179" s="43">
        <v>2773712</v>
      </c>
    </row>
    <row r="180" spans="2:9" x14ac:dyDescent="0.25">
      <c r="B180" s="40" t="s">
        <v>349</v>
      </c>
      <c r="C180" s="46" t="s">
        <v>688</v>
      </c>
      <c r="D180" s="38" t="s">
        <v>689</v>
      </c>
      <c r="E180" s="39">
        <v>20230009</v>
      </c>
      <c r="H180" s="42" t="s">
        <v>566</v>
      </c>
      <c r="I180" s="43">
        <v>71228513</v>
      </c>
    </row>
    <row r="181" spans="2:9" ht="24" x14ac:dyDescent="0.25">
      <c r="B181" s="40" t="s">
        <v>349</v>
      </c>
      <c r="C181" s="46" t="s">
        <v>269</v>
      </c>
      <c r="D181" s="38" t="s">
        <v>170</v>
      </c>
      <c r="E181" s="39">
        <v>20230009</v>
      </c>
      <c r="H181" s="42" t="s">
        <v>567</v>
      </c>
      <c r="I181" s="43" t="s">
        <v>601</v>
      </c>
    </row>
    <row r="182" spans="2:9" x14ac:dyDescent="0.25">
      <c r="B182" s="40" t="s">
        <v>376</v>
      </c>
      <c r="C182" s="46" t="s">
        <v>708</v>
      </c>
      <c r="D182" s="38" t="s">
        <v>171</v>
      </c>
      <c r="E182" s="39">
        <v>20230009</v>
      </c>
      <c r="H182" s="42" t="s">
        <v>568</v>
      </c>
      <c r="I182" s="45">
        <v>16729916</v>
      </c>
    </row>
    <row r="183" spans="2:9" ht="24" x14ac:dyDescent="0.25">
      <c r="B183" s="40" t="s">
        <v>376</v>
      </c>
      <c r="C183" s="46" t="s">
        <v>647</v>
      </c>
      <c r="D183" s="38" t="s">
        <v>648</v>
      </c>
      <c r="E183" s="39">
        <v>20230019</v>
      </c>
      <c r="H183" s="42" t="s">
        <v>569</v>
      </c>
      <c r="I183" s="43">
        <v>3614926</v>
      </c>
    </row>
    <row r="184" spans="2:9" x14ac:dyDescent="0.25">
      <c r="B184" s="40" t="s">
        <v>376</v>
      </c>
      <c r="C184" s="46" t="s">
        <v>690</v>
      </c>
      <c r="D184" s="38" t="s">
        <v>691</v>
      </c>
      <c r="E184" s="39">
        <v>10410023</v>
      </c>
      <c r="H184" s="42" t="s">
        <v>570</v>
      </c>
      <c r="I184" s="43">
        <v>43181204</v>
      </c>
    </row>
    <row r="185" spans="2:9" ht="24" x14ac:dyDescent="0.25">
      <c r="B185" s="40" t="s">
        <v>377</v>
      </c>
      <c r="C185" s="46" t="s">
        <v>707</v>
      </c>
      <c r="D185" s="38" t="s">
        <v>172</v>
      </c>
      <c r="E185" s="39">
        <v>20230009</v>
      </c>
      <c r="H185" s="42" t="s">
        <v>571</v>
      </c>
      <c r="I185" s="43">
        <v>9274624</v>
      </c>
    </row>
    <row r="186" spans="2:9" x14ac:dyDescent="0.25">
      <c r="B186" s="40" t="s">
        <v>377</v>
      </c>
      <c r="C186" s="46" t="s">
        <v>706</v>
      </c>
      <c r="D186" s="38" t="s">
        <v>173</v>
      </c>
      <c r="E186" s="39">
        <v>20230009</v>
      </c>
      <c r="H186" s="42" t="s">
        <v>572</v>
      </c>
      <c r="I186" s="43">
        <v>14321327</v>
      </c>
    </row>
    <row r="187" spans="2:9" ht="24" x14ac:dyDescent="0.25">
      <c r="B187" s="40" t="s">
        <v>377</v>
      </c>
      <c r="C187" s="46" t="s">
        <v>705</v>
      </c>
      <c r="D187" s="38" t="s">
        <v>174</v>
      </c>
      <c r="E187" s="39">
        <v>20230009</v>
      </c>
      <c r="H187" s="42" t="s">
        <v>573</v>
      </c>
      <c r="I187" s="43">
        <v>70552478</v>
      </c>
    </row>
    <row r="188" spans="2:9" ht="24" x14ac:dyDescent="0.25">
      <c r="B188" s="40" t="s">
        <v>377</v>
      </c>
      <c r="C188" s="46" t="s">
        <v>636</v>
      </c>
      <c r="D188" s="38" t="s">
        <v>637</v>
      </c>
      <c r="E188" s="39">
        <v>20230019</v>
      </c>
      <c r="H188" s="42" t="s">
        <v>574</v>
      </c>
      <c r="I188" s="43">
        <v>78695953</v>
      </c>
    </row>
    <row r="189" spans="2:9" x14ac:dyDescent="0.25">
      <c r="B189" s="40" t="s">
        <v>377</v>
      </c>
      <c r="C189" s="46" t="s">
        <v>638</v>
      </c>
      <c r="D189" s="38" t="s">
        <v>639</v>
      </c>
      <c r="E189" s="39">
        <v>20230019</v>
      </c>
      <c r="H189" s="42" t="s">
        <v>575</v>
      </c>
      <c r="I189" s="43">
        <v>39357558</v>
      </c>
    </row>
    <row r="190" spans="2:9" ht="24" x14ac:dyDescent="0.25">
      <c r="B190" s="40" t="s">
        <v>377</v>
      </c>
      <c r="C190" s="46" t="s">
        <v>640</v>
      </c>
      <c r="D190" s="38" t="s">
        <v>641</v>
      </c>
      <c r="E190" s="39">
        <v>20230019</v>
      </c>
      <c r="H190" s="42" t="s">
        <v>576</v>
      </c>
      <c r="I190" s="43">
        <v>32144634</v>
      </c>
    </row>
    <row r="191" spans="2:9" x14ac:dyDescent="0.25">
      <c r="B191" s="40" t="s">
        <v>377</v>
      </c>
      <c r="C191" s="46" t="s">
        <v>692</v>
      </c>
      <c r="D191" s="38" t="s">
        <v>693</v>
      </c>
      <c r="E191" s="39">
        <v>10410023</v>
      </c>
      <c r="H191" s="42" t="s">
        <v>577</v>
      </c>
      <c r="I191" s="43">
        <v>43976190</v>
      </c>
    </row>
    <row r="192" spans="2:9" x14ac:dyDescent="0.25">
      <c r="B192" s="40" t="s">
        <v>378</v>
      </c>
      <c r="C192" s="46" t="s">
        <v>270</v>
      </c>
      <c r="D192" s="38" t="s">
        <v>175</v>
      </c>
      <c r="E192" s="39">
        <v>20230009</v>
      </c>
      <c r="H192" s="42" t="s">
        <v>578</v>
      </c>
      <c r="I192" s="43">
        <v>1037584763</v>
      </c>
    </row>
    <row r="193" spans="2:9" x14ac:dyDescent="0.25">
      <c r="B193" s="40" t="s">
        <v>378</v>
      </c>
      <c r="C193" s="46" t="s">
        <v>851</v>
      </c>
      <c r="D193" s="38" t="s">
        <v>694</v>
      </c>
      <c r="E193" s="39">
        <v>10410023</v>
      </c>
      <c r="H193" s="42" t="s">
        <v>603</v>
      </c>
      <c r="I193" s="43">
        <v>91274892</v>
      </c>
    </row>
    <row r="194" spans="2:9" ht="24" x14ac:dyDescent="0.25">
      <c r="B194" s="40" t="s">
        <v>378</v>
      </c>
      <c r="C194" s="46" t="s">
        <v>767</v>
      </c>
      <c r="D194" s="38" t="s">
        <v>615</v>
      </c>
      <c r="E194" s="39">
        <v>20230009</v>
      </c>
      <c r="H194" s="42" t="s">
        <v>579</v>
      </c>
      <c r="I194" s="43">
        <v>79396377</v>
      </c>
    </row>
    <row r="195" spans="2:9" ht="24" x14ac:dyDescent="0.25">
      <c r="B195" s="40" t="s">
        <v>378</v>
      </c>
      <c r="C195" s="46" t="s">
        <v>704</v>
      </c>
      <c r="D195" s="38" t="s">
        <v>642</v>
      </c>
      <c r="E195" s="39">
        <v>20230009</v>
      </c>
      <c r="H195" s="42" t="s">
        <v>580</v>
      </c>
      <c r="I195" s="43">
        <v>71604098</v>
      </c>
    </row>
    <row r="196" spans="2:9" ht="24" x14ac:dyDescent="0.25">
      <c r="B196" s="40" t="s">
        <v>378</v>
      </c>
      <c r="C196" s="46" t="s">
        <v>768</v>
      </c>
      <c r="D196" s="38" t="s">
        <v>616</v>
      </c>
      <c r="E196" s="39">
        <v>20230019</v>
      </c>
      <c r="H196" s="42" t="s">
        <v>581</v>
      </c>
      <c r="I196" s="43" t="s">
        <v>601</v>
      </c>
    </row>
    <row r="197" spans="2:9" ht="24" x14ac:dyDescent="0.25">
      <c r="B197" s="40" t="s">
        <v>378</v>
      </c>
      <c r="C197" s="46" t="s">
        <v>810</v>
      </c>
      <c r="D197" s="38" t="s">
        <v>811</v>
      </c>
      <c r="E197" s="39">
        <v>20230009</v>
      </c>
      <c r="H197" s="42" t="s">
        <v>582</v>
      </c>
      <c r="I197" s="45">
        <v>43208454</v>
      </c>
    </row>
    <row r="198" spans="2:9" ht="24" x14ac:dyDescent="0.25">
      <c r="B198" s="40" t="s">
        <v>378</v>
      </c>
      <c r="C198" s="46" t="s">
        <v>812</v>
      </c>
      <c r="D198" s="38" t="s">
        <v>813</v>
      </c>
      <c r="E198" s="39">
        <v>20230009</v>
      </c>
      <c r="H198" s="42" t="s">
        <v>583</v>
      </c>
      <c r="I198" s="43">
        <v>37224127</v>
      </c>
    </row>
    <row r="199" spans="2:9" x14ac:dyDescent="0.25">
      <c r="B199" s="40" t="s">
        <v>378</v>
      </c>
      <c r="C199" s="46" t="s">
        <v>868</v>
      </c>
      <c r="D199" s="38" t="s">
        <v>869</v>
      </c>
      <c r="E199" s="39">
        <v>10410023</v>
      </c>
      <c r="H199" s="42" t="s">
        <v>860</v>
      </c>
      <c r="I199" s="43">
        <v>71781892</v>
      </c>
    </row>
    <row r="200" spans="2:9" ht="24" x14ac:dyDescent="0.25">
      <c r="B200" s="40" t="s">
        <v>379</v>
      </c>
      <c r="C200" s="46" t="s">
        <v>271</v>
      </c>
      <c r="D200" s="38" t="s">
        <v>176</v>
      </c>
      <c r="E200" s="39">
        <v>20230009</v>
      </c>
      <c r="H200" s="42" t="s">
        <v>883</v>
      </c>
      <c r="I200" s="43">
        <v>43684363</v>
      </c>
    </row>
    <row r="201" spans="2:9" ht="24" x14ac:dyDescent="0.25">
      <c r="B201" s="40" t="s">
        <v>379</v>
      </c>
      <c r="C201" s="46" t="s">
        <v>272</v>
      </c>
      <c r="D201" s="38" t="s">
        <v>177</v>
      </c>
      <c r="E201" s="39">
        <v>20230009</v>
      </c>
      <c r="H201" s="42" t="s">
        <v>584</v>
      </c>
      <c r="I201" s="43">
        <v>42828062</v>
      </c>
    </row>
    <row r="202" spans="2:9" x14ac:dyDescent="0.25">
      <c r="B202" s="40" t="s">
        <v>379</v>
      </c>
      <c r="C202" s="46" t="s">
        <v>273</v>
      </c>
      <c r="D202" s="38" t="s">
        <v>178</v>
      </c>
      <c r="E202" s="39">
        <v>20230009</v>
      </c>
      <c r="H202" s="42" t="s">
        <v>585</v>
      </c>
      <c r="I202" s="43">
        <v>43001116</v>
      </c>
    </row>
    <row r="203" spans="2:9" x14ac:dyDescent="0.25">
      <c r="B203" s="40" t="s">
        <v>379</v>
      </c>
      <c r="C203" s="46" t="s">
        <v>643</v>
      </c>
      <c r="D203" s="38" t="s">
        <v>644</v>
      </c>
      <c r="E203" s="39">
        <v>20230009</v>
      </c>
      <c r="H203" s="42" t="s">
        <v>586</v>
      </c>
      <c r="I203" s="43">
        <v>32297021</v>
      </c>
    </row>
    <row r="204" spans="2:9" ht="24" x14ac:dyDescent="0.25">
      <c r="B204" s="40" t="s">
        <v>379</v>
      </c>
      <c r="C204" s="46" t="s">
        <v>769</v>
      </c>
      <c r="D204" s="38" t="s">
        <v>770</v>
      </c>
      <c r="E204" s="39">
        <v>10410023</v>
      </c>
      <c r="H204" s="42" t="s">
        <v>587</v>
      </c>
      <c r="I204" s="43">
        <v>43042920</v>
      </c>
    </row>
    <row r="205" spans="2:9" x14ac:dyDescent="0.25">
      <c r="B205" s="40" t="s">
        <v>379</v>
      </c>
      <c r="C205" s="46" t="s">
        <v>852</v>
      </c>
      <c r="D205" s="38" t="s">
        <v>771</v>
      </c>
      <c r="E205" s="39">
        <v>10410023</v>
      </c>
      <c r="H205" s="42" t="s">
        <v>588</v>
      </c>
      <c r="I205" s="43">
        <v>423015</v>
      </c>
    </row>
    <row r="206" spans="2:9" x14ac:dyDescent="0.25">
      <c r="B206" s="40" t="s">
        <v>379</v>
      </c>
      <c r="C206" s="46" t="s">
        <v>696</v>
      </c>
      <c r="D206" s="38" t="s">
        <v>697</v>
      </c>
      <c r="E206" s="39">
        <v>20230009</v>
      </c>
      <c r="H206" s="42" t="s">
        <v>589</v>
      </c>
      <c r="I206" s="43">
        <v>87470374</v>
      </c>
    </row>
    <row r="207" spans="2:9" ht="24" x14ac:dyDescent="0.25">
      <c r="B207" s="40" t="s">
        <v>379</v>
      </c>
      <c r="C207" s="46" t="s">
        <v>814</v>
      </c>
      <c r="D207" s="38" t="s">
        <v>815</v>
      </c>
      <c r="E207" s="39">
        <v>10410023</v>
      </c>
      <c r="H207" s="42" t="s">
        <v>590</v>
      </c>
      <c r="I207" s="43">
        <v>42785840</v>
      </c>
    </row>
    <row r="208" spans="2:9" ht="24" x14ac:dyDescent="0.25">
      <c r="B208" s="40" t="s">
        <v>380</v>
      </c>
      <c r="C208" s="46" t="s">
        <v>274</v>
      </c>
      <c r="D208" s="38" t="s">
        <v>179</v>
      </c>
      <c r="E208" s="39">
        <v>20230009</v>
      </c>
      <c r="H208" s="42" t="s">
        <v>591</v>
      </c>
      <c r="I208" s="43">
        <v>1128445920</v>
      </c>
    </row>
    <row r="209" spans="2:9" x14ac:dyDescent="0.25">
      <c r="B209" s="40" t="s">
        <v>380</v>
      </c>
      <c r="C209" s="46" t="s">
        <v>845</v>
      </c>
      <c r="D209" s="38" t="s">
        <v>695</v>
      </c>
      <c r="E209" s="39">
        <v>10410023</v>
      </c>
      <c r="H209" s="42" t="s">
        <v>592</v>
      </c>
      <c r="I209" s="43">
        <v>3400095</v>
      </c>
    </row>
    <row r="210" spans="2:9" ht="24" x14ac:dyDescent="0.25">
      <c r="B210" s="40" t="s">
        <v>822</v>
      </c>
      <c r="C210" s="46" t="s">
        <v>816</v>
      </c>
      <c r="D210" s="38" t="s">
        <v>817</v>
      </c>
      <c r="E210" s="39" t="s">
        <v>601</v>
      </c>
      <c r="H210" s="42" t="s">
        <v>593</v>
      </c>
      <c r="I210" s="43">
        <v>43107725</v>
      </c>
    </row>
    <row r="211" spans="2:9" x14ac:dyDescent="0.25">
      <c r="B211" s="40" t="s">
        <v>822</v>
      </c>
      <c r="C211" s="46" t="s">
        <v>818</v>
      </c>
      <c r="D211" s="38" t="s">
        <v>819</v>
      </c>
      <c r="E211" s="39" t="s">
        <v>601</v>
      </c>
      <c r="H211" s="42" t="s">
        <v>594</v>
      </c>
      <c r="I211" s="43">
        <v>1128476811</v>
      </c>
    </row>
    <row r="212" spans="2:9" x14ac:dyDescent="0.25">
      <c r="B212" s="40" t="s">
        <v>822</v>
      </c>
      <c r="C212" s="46" t="s">
        <v>820</v>
      </c>
      <c r="D212" s="38" t="s">
        <v>821</v>
      </c>
      <c r="E212" s="39" t="s">
        <v>601</v>
      </c>
      <c r="H212" s="42" t="s">
        <v>595</v>
      </c>
      <c r="I212" s="43">
        <v>98635968</v>
      </c>
    </row>
    <row r="213" spans="2:9" ht="48" x14ac:dyDescent="0.25">
      <c r="B213" s="40" t="s">
        <v>350</v>
      </c>
      <c r="C213" s="46" t="s">
        <v>772</v>
      </c>
      <c r="D213" s="38" t="s">
        <v>180</v>
      </c>
      <c r="E213" s="39">
        <v>20230009</v>
      </c>
      <c r="H213" s="42" t="s">
        <v>604</v>
      </c>
      <c r="I213" s="43">
        <v>1048014259</v>
      </c>
    </row>
    <row r="214" spans="2:9" x14ac:dyDescent="0.25">
      <c r="B214" s="40" t="s">
        <v>350</v>
      </c>
      <c r="C214" s="46" t="s">
        <v>275</v>
      </c>
      <c r="D214" s="38" t="s">
        <v>181</v>
      </c>
      <c r="E214" s="39">
        <v>10410023</v>
      </c>
      <c r="H214" s="42" t="s">
        <v>596</v>
      </c>
      <c r="I214" s="43">
        <v>71330691</v>
      </c>
    </row>
    <row r="215" spans="2:9" ht="24" x14ac:dyDescent="0.25">
      <c r="B215" s="40" t="s">
        <v>350</v>
      </c>
      <c r="C215" s="46" t="s">
        <v>703</v>
      </c>
      <c r="D215" s="38" t="s">
        <v>182</v>
      </c>
      <c r="E215" s="39">
        <v>20230009</v>
      </c>
      <c r="H215" s="42" t="s">
        <v>597</v>
      </c>
      <c r="I215" s="43">
        <v>15484625</v>
      </c>
    </row>
    <row r="216" spans="2:9" x14ac:dyDescent="0.25">
      <c r="B216" s="40" t="s">
        <v>350</v>
      </c>
      <c r="C216" s="46" t="s">
        <v>844</v>
      </c>
      <c r="D216" s="38" t="s">
        <v>645</v>
      </c>
      <c r="E216" s="38">
        <v>10410023</v>
      </c>
      <c r="H216" s="42" t="s">
        <v>598</v>
      </c>
      <c r="I216" s="43">
        <v>98531399</v>
      </c>
    </row>
    <row r="217" spans="2:9" x14ac:dyDescent="0.25">
      <c r="B217" s="40" t="s">
        <v>351</v>
      </c>
      <c r="C217" s="46" t="s">
        <v>276</v>
      </c>
      <c r="D217" s="38" t="s">
        <v>183</v>
      </c>
      <c r="E217" s="39">
        <v>20230016</v>
      </c>
      <c r="H217" s="42" t="s">
        <v>599</v>
      </c>
      <c r="I217" s="43">
        <v>12906428</v>
      </c>
    </row>
    <row r="218" spans="2:9" ht="24" x14ac:dyDescent="0.25">
      <c r="B218" s="40" t="s">
        <v>351</v>
      </c>
      <c r="C218" s="46" t="s">
        <v>277</v>
      </c>
      <c r="D218" s="38" t="s">
        <v>184</v>
      </c>
      <c r="E218" s="39">
        <v>20230016</v>
      </c>
      <c r="H218" s="42" t="s">
        <v>600</v>
      </c>
      <c r="I218" s="43">
        <v>10777539</v>
      </c>
    </row>
    <row r="219" spans="2:9" ht="24" x14ac:dyDescent="0.25">
      <c r="B219" s="40" t="s">
        <v>351</v>
      </c>
      <c r="C219" s="46" t="s">
        <v>278</v>
      </c>
      <c r="D219" s="38" t="s">
        <v>185</v>
      </c>
      <c r="E219" s="39">
        <v>20230016</v>
      </c>
      <c r="I219" s="29"/>
    </row>
    <row r="220" spans="2:9" ht="24" x14ac:dyDescent="0.25">
      <c r="B220" s="40" t="s">
        <v>351</v>
      </c>
      <c r="C220" s="46" t="s">
        <v>279</v>
      </c>
      <c r="D220" s="38" t="s">
        <v>186</v>
      </c>
      <c r="E220" s="39">
        <v>20230016</v>
      </c>
    </row>
    <row r="221" spans="2:9" ht="24" x14ac:dyDescent="0.25">
      <c r="B221" s="40" t="s">
        <v>351</v>
      </c>
      <c r="C221" s="46" t="s">
        <v>280</v>
      </c>
      <c r="D221" s="38" t="s">
        <v>187</v>
      </c>
      <c r="E221" s="39">
        <v>20230016</v>
      </c>
    </row>
    <row r="222" spans="2:9" x14ac:dyDescent="0.25">
      <c r="B222" s="40" t="s">
        <v>351</v>
      </c>
      <c r="C222" s="46" t="s">
        <v>281</v>
      </c>
      <c r="D222" s="38" t="s">
        <v>188</v>
      </c>
      <c r="E222" s="39">
        <v>20230016</v>
      </c>
      <c r="I222" s="29"/>
    </row>
    <row r="223" spans="2:9" ht="24" x14ac:dyDescent="0.25">
      <c r="B223" s="40" t="s">
        <v>351</v>
      </c>
      <c r="C223" s="46" t="s">
        <v>282</v>
      </c>
      <c r="D223" s="38" t="s">
        <v>189</v>
      </c>
      <c r="E223" s="39">
        <v>20230016</v>
      </c>
      <c r="I223" s="29"/>
    </row>
    <row r="224" spans="2:9" ht="24" x14ac:dyDescent="0.25">
      <c r="B224" s="40" t="s">
        <v>351</v>
      </c>
      <c r="C224" s="46" t="s">
        <v>283</v>
      </c>
      <c r="D224" s="38" t="s">
        <v>190</v>
      </c>
      <c r="E224" s="39">
        <v>20230016</v>
      </c>
      <c r="I224" s="29"/>
    </row>
    <row r="225" spans="2:9" ht="24" x14ac:dyDescent="0.25">
      <c r="B225" s="40" t="s">
        <v>351</v>
      </c>
      <c r="C225" s="46" t="s">
        <v>284</v>
      </c>
      <c r="D225" s="38" t="s">
        <v>191</v>
      </c>
      <c r="E225" s="39">
        <v>20230016</v>
      </c>
      <c r="I225" s="29"/>
    </row>
    <row r="226" spans="2:9" ht="24" x14ac:dyDescent="0.25">
      <c r="B226" s="40" t="s">
        <v>351</v>
      </c>
      <c r="C226" s="46" t="s">
        <v>285</v>
      </c>
      <c r="D226" s="38" t="s">
        <v>192</v>
      </c>
      <c r="E226" s="39">
        <v>20230016</v>
      </c>
      <c r="I226" s="29"/>
    </row>
    <row r="227" spans="2:9" ht="24" x14ac:dyDescent="0.25">
      <c r="B227" s="40" t="s">
        <v>351</v>
      </c>
      <c r="C227" s="46" t="s">
        <v>286</v>
      </c>
      <c r="D227" s="38" t="s">
        <v>193</v>
      </c>
      <c r="E227" s="39">
        <v>20230016</v>
      </c>
      <c r="I227" s="29"/>
    </row>
    <row r="228" spans="2:9" ht="24" x14ac:dyDescent="0.25">
      <c r="B228" s="40" t="s">
        <v>351</v>
      </c>
      <c r="C228" s="46" t="s">
        <v>287</v>
      </c>
      <c r="D228" s="38" t="s">
        <v>194</v>
      </c>
      <c r="E228" s="39">
        <v>20230016</v>
      </c>
      <c r="I228" s="29"/>
    </row>
    <row r="229" spans="2:9" x14ac:dyDescent="0.25">
      <c r="B229" s="40" t="s">
        <v>351</v>
      </c>
      <c r="C229" s="46" t="s">
        <v>288</v>
      </c>
      <c r="D229" s="38" t="s">
        <v>195</v>
      </c>
      <c r="E229" s="39">
        <v>20230016</v>
      </c>
      <c r="I229" s="29"/>
    </row>
    <row r="230" spans="2:9" ht="24" x14ac:dyDescent="0.25">
      <c r="B230" s="40" t="s">
        <v>351</v>
      </c>
      <c r="C230" s="46" t="s">
        <v>289</v>
      </c>
      <c r="D230" s="38" t="s">
        <v>196</v>
      </c>
      <c r="E230" s="39">
        <v>20230016</v>
      </c>
      <c r="H230" s="42"/>
      <c r="I230" s="43"/>
    </row>
    <row r="231" spans="2:9" ht="24" x14ac:dyDescent="0.25">
      <c r="B231" s="40" t="s">
        <v>351</v>
      </c>
      <c r="C231" s="46" t="s">
        <v>290</v>
      </c>
      <c r="D231" s="38" t="s">
        <v>197</v>
      </c>
      <c r="E231" s="39">
        <v>20230016</v>
      </c>
      <c r="I231" s="44"/>
    </row>
    <row r="232" spans="2:9" ht="24" x14ac:dyDescent="0.25">
      <c r="B232" s="40" t="s">
        <v>351</v>
      </c>
      <c r="C232" s="46" t="s">
        <v>773</v>
      </c>
      <c r="D232" s="38" t="s">
        <v>198</v>
      </c>
      <c r="E232" s="39">
        <v>20230016</v>
      </c>
      <c r="I232" s="44"/>
    </row>
    <row r="233" spans="2:9" ht="24" x14ac:dyDescent="0.25">
      <c r="B233" s="40" t="s">
        <v>381</v>
      </c>
      <c r="C233" s="46" t="s">
        <v>291</v>
      </c>
      <c r="D233" s="38" t="s">
        <v>199</v>
      </c>
      <c r="E233" s="39">
        <v>20230009</v>
      </c>
      <c r="I233" s="44"/>
    </row>
    <row r="234" spans="2:9" ht="24" x14ac:dyDescent="0.25">
      <c r="B234" s="40" t="s">
        <v>381</v>
      </c>
      <c r="C234" s="46" t="s">
        <v>292</v>
      </c>
      <c r="D234" s="38" t="s">
        <v>200</v>
      </c>
      <c r="E234" s="39">
        <v>20230009</v>
      </c>
    </row>
    <row r="235" spans="2:9" ht="24" x14ac:dyDescent="0.25">
      <c r="B235" s="40" t="s">
        <v>874</v>
      </c>
      <c r="C235" s="46" t="s">
        <v>876</v>
      </c>
      <c r="D235" s="38" t="s">
        <v>875</v>
      </c>
      <c r="E235" s="39">
        <v>20230009</v>
      </c>
    </row>
    <row r="236" spans="2:9" x14ac:dyDescent="0.25">
      <c r="C236" s="39"/>
      <c r="D236" s="38"/>
    </row>
    <row r="237" spans="2:9" x14ac:dyDescent="0.25">
      <c r="C237" s="39"/>
      <c r="D237" s="38"/>
    </row>
    <row r="238" spans="2:9" x14ac:dyDescent="0.25">
      <c r="C238" s="39"/>
      <c r="D238" s="38"/>
    </row>
    <row r="239" spans="2:9" x14ac:dyDescent="0.25">
      <c r="C239" s="39"/>
      <c r="D239" s="38"/>
    </row>
    <row r="240" spans="2:9" x14ac:dyDescent="0.25">
      <c r="C240" s="39"/>
      <c r="D240" s="38"/>
    </row>
    <row r="241" spans="3:4" x14ac:dyDescent="0.25">
      <c r="C241" s="39"/>
      <c r="D241" s="38"/>
    </row>
    <row r="242" spans="3:4" x14ac:dyDescent="0.25">
      <c r="C242" s="39"/>
      <c r="D242" s="38"/>
    </row>
    <row r="243" spans="3:4" x14ac:dyDescent="0.25">
      <c r="C243" s="39"/>
      <c r="D243" s="38"/>
    </row>
    <row r="244" spans="3:4" x14ac:dyDescent="0.25">
      <c r="C244" s="39"/>
      <c r="D244" s="38"/>
    </row>
    <row r="245" spans="3:4" x14ac:dyDescent="0.25">
      <c r="C245" s="39"/>
      <c r="D245" s="38"/>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row>
    <row r="743" spans="3:4" x14ac:dyDescent="0.25">
      <c r="C743" s="39"/>
    </row>
    <row r="744" spans="3:4" x14ac:dyDescent="0.25">
      <c r="C744" s="39"/>
    </row>
    <row r="745" spans="3:4" x14ac:dyDescent="0.25">
      <c r="C745" s="39"/>
    </row>
    <row r="746" spans="3:4" x14ac:dyDescent="0.25">
      <c r="C746" s="39"/>
    </row>
    <row r="747" spans="3:4" x14ac:dyDescent="0.25">
      <c r="C747" s="39"/>
    </row>
  </sheetData>
  <autoFilter ref="A1:I233"/>
  <sortState ref="F2:F35">
    <sortCondition ref="F35"/>
  </sortState>
  <conditionalFormatting sqref="C2:C4 C6:C232">
    <cfRule type="duplicateValues" dxfId="0" priority="4"/>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
  <sheetViews>
    <sheetView workbookViewId="0">
      <selection activeCell="I10" sqref="I10"/>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22.42578125" style="23" customWidth="1"/>
    <col min="11" max="11" width="39.85546875" style="23" customWidth="1"/>
    <col min="12" max="16384" width="10" style="23"/>
  </cols>
  <sheetData>
    <row r="1" spans="1:11" ht="38.25" x14ac:dyDescent="0.25">
      <c r="A1" s="34" t="s">
        <v>28</v>
      </c>
      <c r="B1" s="34" t="s">
        <v>62</v>
      </c>
      <c r="C1" s="34" t="s">
        <v>63</v>
      </c>
      <c r="D1" s="34" t="s">
        <v>67</v>
      </c>
      <c r="E1" s="34" t="s">
        <v>68</v>
      </c>
      <c r="F1" s="34" t="s">
        <v>71</v>
      </c>
      <c r="G1" s="34" t="s">
        <v>295</v>
      </c>
      <c r="H1" s="34" t="s">
        <v>297</v>
      </c>
      <c r="I1" s="34" t="s">
        <v>299</v>
      </c>
      <c r="J1" s="34" t="s">
        <v>295</v>
      </c>
      <c r="K1" s="34" t="s">
        <v>323</v>
      </c>
    </row>
    <row r="2" spans="1:11" ht="25.5" x14ac:dyDescent="0.25">
      <c r="A2" s="22" t="s">
        <v>70</v>
      </c>
      <c r="B2" s="33" t="s">
        <v>66</v>
      </c>
      <c r="C2" s="33" t="s">
        <v>64</v>
      </c>
      <c r="D2" s="22" t="s">
        <v>65</v>
      </c>
      <c r="E2" s="22" t="s">
        <v>69</v>
      </c>
      <c r="F2" s="22" t="s">
        <v>70</v>
      </c>
      <c r="G2" s="23" t="s">
        <v>296</v>
      </c>
      <c r="H2" s="23" t="s">
        <v>298</v>
      </c>
      <c r="I2" s="23" t="s">
        <v>619</v>
      </c>
      <c r="K2" s="32"/>
    </row>
  </sheetData>
  <hyperlinks>
    <hyperlink ref="I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49</vt:i4>
      </vt:variant>
    </vt:vector>
  </HeadingPairs>
  <TitlesOfParts>
    <vt:vector size="54" baseType="lpstr">
      <vt:lpstr>Solicitud de trámite</vt:lpstr>
      <vt:lpstr>Estudio previo</vt:lpstr>
      <vt:lpstr>Consulta de precios</vt:lpstr>
      <vt:lpstr>Parámetros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2022-01-31T19:24:28Z</dcterms:modified>
</cp:coreProperties>
</file>